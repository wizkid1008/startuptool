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mc:AlternateContent xmlns:mc="http://schemas.openxmlformats.org/markup-compatibility/2006">
    <mc:Choice Requires="x15">
      <x15ac:absPath xmlns:x15ac="http://schemas.microsoft.com/office/spreadsheetml/2010/11/ac" url="C:\Users\Sisters\Documents\SMEAT\"/>
    </mc:Choice>
  </mc:AlternateContent>
  <xr:revisionPtr revIDLastSave="0" documentId="8_{608AB1A0-1853-4BB6-80B5-0AB7BAA9A637}" xr6:coauthVersionLast="47" xr6:coauthVersionMax="47" xr10:uidLastSave="{00000000-0000-0000-0000-000000000000}"/>
  <bookViews>
    <workbookView xWindow="-90" yWindow="-90" windowWidth="17460" windowHeight="10260" xr2:uid="{00000000-000D-0000-FFFF-FFFF00000000}"/>
  </bookViews>
  <sheets>
    <sheet name="Console" sheetId="1" r:id="rId1"/>
    <sheet name="About" sheetId="2" r:id="rId2"/>
    <sheet name="Instructions" sheetId="3" r:id="rId3"/>
    <sheet name="Customer" sheetId="4" r:id="rId4"/>
    <sheet name="People" sheetId="5" r:id="rId5"/>
    <sheet name="Operations" sheetId="6" r:id="rId6"/>
    <sheet name="Finance" sheetId="7" r:id="rId7"/>
    <sheet name="Analytics" sheetId="8" r:id="rId8"/>
    <sheet name="Risk" sheetId="9" r:id="rId9"/>
    <sheet name="Impact" sheetId="10" r:id="rId10"/>
    <sheet name="Report" sheetId="11"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6" roundtripDataChecksum="f0nbKgeO3petA1qDZHIMSNxjxBCciHjVxVl75jPw9YQ="/>
    </ext>
  </extLst>
</workbook>
</file>

<file path=xl/calcChain.xml><?xml version="1.0" encoding="utf-8"?>
<calcChain xmlns="http://schemas.openxmlformats.org/spreadsheetml/2006/main">
  <c r="L17" i="11" l="1"/>
  <c r="D141" i="10"/>
  <c r="B141" i="10"/>
  <c r="G138" i="10"/>
  <c r="B136" i="10"/>
  <c r="D110" i="10"/>
  <c r="B110" i="10"/>
  <c r="G107" i="10"/>
  <c r="B105" i="10"/>
  <c r="D79" i="10"/>
  <c r="G76" i="10"/>
  <c r="B74" i="10"/>
  <c r="B79" i="10" s="1"/>
  <c r="D48" i="10"/>
  <c r="B48" i="10"/>
  <c r="G45" i="10"/>
  <c r="B43" i="10"/>
  <c r="D17" i="10"/>
  <c r="G14" i="10"/>
  <c r="B12" i="10"/>
  <c r="B17" i="10" s="1"/>
  <c r="A10" i="10"/>
  <c r="E7" i="10"/>
  <c r="J45" i="1" s="1"/>
  <c r="M29" i="11" s="1"/>
  <c r="D7" i="10"/>
  <c r="C7" i="10"/>
  <c r="D6" i="10"/>
  <c r="E6" i="10" s="1"/>
  <c r="J44" i="1" s="1"/>
  <c r="M28" i="11" s="1"/>
  <c r="C6" i="10"/>
  <c r="D5" i="10"/>
  <c r="E5" i="10" s="1"/>
  <c r="J43" i="1" s="1"/>
  <c r="M27" i="11" s="1"/>
  <c r="C5" i="10"/>
  <c r="D4" i="10"/>
  <c r="D3" i="10" s="1"/>
  <c r="I41" i="1" s="1"/>
  <c r="L25" i="11" s="1"/>
  <c r="C4" i="10"/>
  <c r="E4" i="10" s="1"/>
  <c r="D141" i="9"/>
  <c r="G138" i="9"/>
  <c r="B136" i="9"/>
  <c r="B141" i="9" s="1"/>
  <c r="D110" i="9"/>
  <c r="B110" i="9"/>
  <c r="G107" i="9"/>
  <c r="B105" i="9"/>
  <c r="D79" i="9"/>
  <c r="B79" i="9"/>
  <c r="G76" i="9"/>
  <c r="B74" i="9"/>
  <c r="D48" i="9"/>
  <c r="G45" i="9"/>
  <c r="B43" i="9"/>
  <c r="B48" i="9" s="1"/>
  <c r="D17" i="9"/>
  <c r="B17" i="9"/>
  <c r="G14" i="9"/>
  <c r="B12" i="9"/>
  <c r="A10" i="9"/>
  <c r="D7" i="9"/>
  <c r="C7" i="9"/>
  <c r="E7" i="9" s="1"/>
  <c r="J39" i="1" s="1"/>
  <c r="M23" i="11" s="1"/>
  <c r="D6" i="9"/>
  <c r="E6" i="9" s="1"/>
  <c r="J38" i="1" s="1"/>
  <c r="M22" i="11" s="1"/>
  <c r="C6" i="9"/>
  <c r="D5" i="9"/>
  <c r="D3" i="9" s="1"/>
  <c r="I35" i="1" s="1"/>
  <c r="L19" i="11" s="1"/>
  <c r="C5" i="9"/>
  <c r="E5" i="9" s="1"/>
  <c r="J37" i="1" s="1"/>
  <c r="M21" i="11" s="1"/>
  <c r="D4" i="9"/>
  <c r="C4" i="9"/>
  <c r="E4" i="9" s="1"/>
  <c r="D141" i="8"/>
  <c r="B141" i="8"/>
  <c r="G138" i="8"/>
  <c r="B136" i="8"/>
  <c r="D110" i="8"/>
  <c r="G107" i="8"/>
  <c r="B105" i="8"/>
  <c r="B110" i="8" s="1"/>
  <c r="D79" i="8"/>
  <c r="B79" i="8"/>
  <c r="G76" i="8"/>
  <c r="B74" i="8"/>
  <c r="D48" i="8"/>
  <c r="B48" i="8"/>
  <c r="G45" i="8"/>
  <c r="B43" i="8"/>
  <c r="D17" i="8"/>
  <c r="G14" i="8"/>
  <c r="B12" i="8"/>
  <c r="B17" i="8" s="1"/>
  <c r="A10" i="8"/>
  <c r="E6" i="8"/>
  <c r="J33" i="1" s="1"/>
  <c r="M17" i="11" s="1"/>
  <c r="D6" i="8"/>
  <c r="C6" i="8"/>
  <c r="E5" i="8"/>
  <c r="D5" i="8"/>
  <c r="C5" i="8"/>
  <c r="D4" i="8"/>
  <c r="D3" i="8" s="1"/>
  <c r="I30" i="1" s="1"/>
  <c r="L14" i="11" s="1"/>
  <c r="C4" i="8"/>
  <c r="C3" i="8" s="1"/>
  <c r="H30" i="1" s="1"/>
  <c r="K14" i="11" s="1"/>
  <c r="D141" i="7"/>
  <c r="G138" i="7"/>
  <c r="B136" i="7"/>
  <c r="B141" i="7" s="1"/>
  <c r="D110" i="7"/>
  <c r="G107" i="7"/>
  <c r="B105" i="7"/>
  <c r="B110" i="7" s="1"/>
  <c r="D79" i="7"/>
  <c r="G76" i="7"/>
  <c r="B74" i="7"/>
  <c r="B79" i="7" s="1"/>
  <c r="D48" i="7"/>
  <c r="G45" i="7"/>
  <c r="B43" i="7"/>
  <c r="B48" i="7" s="1"/>
  <c r="D17" i="7"/>
  <c r="G14" i="7"/>
  <c r="B12" i="7"/>
  <c r="B17" i="7" s="1"/>
  <c r="A10" i="7"/>
  <c r="D8" i="7"/>
  <c r="C8" i="7"/>
  <c r="E8" i="7" s="1"/>
  <c r="J28" i="1" s="1"/>
  <c r="M12" i="11" s="1"/>
  <c r="D7" i="7"/>
  <c r="C7" i="7"/>
  <c r="E7" i="7" s="1"/>
  <c r="J27" i="1" s="1"/>
  <c r="M11" i="11" s="1"/>
  <c r="D6" i="7"/>
  <c r="E6" i="7" s="1"/>
  <c r="J26" i="1" s="1"/>
  <c r="M10" i="11" s="1"/>
  <c r="C6" i="7"/>
  <c r="D5" i="7"/>
  <c r="D3" i="7" s="1"/>
  <c r="I23" i="1" s="1"/>
  <c r="L7" i="11" s="1"/>
  <c r="C5" i="7"/>
  <c r="E5" i="7" s="1"/>
  <c r="J25" i="1" s="1"/>
  <c r="M9" i="11" s="1"/>
  <c r="D4" i="7"/>
  <c r="C4" i="7"/>
  <c r="C3" i="7" s="1"/>
  <c r="H23" i="1" s="1"/>
  <c r="K7" i="11" s="1"/>
  <c r="D141" i="6"/>
  <c r="G138" i="6"/>
  <c r="D110" i="6"/>
  <c r="G107" i="6"/>
  <c r="B105" i="6"/>
  <c r="B110" i="6" s="1"/>
  <c r="D79" i="6"/>
  <c r="G76" i="6"/>
  <c r="D48" i="6"/>
  <c r="G45" i="6"/>
  <c r="D17" i="6"/>
  <c r="G14" i="6"/>
  <c r="E8" i="6"/>
  <c r="J21" i="1" s="1"/>
  <c r="F25" i="11" s="1"/>
  <c r="D8" i="6"/>
  <c r="C8" i="6"/>
  <c r="B8" i="6"/>
  <c r="B136" i="6" s="1"/>
  <c r="B141" i="6" s="1"/>
  <c r="D7" i="6"/>
  <c r="C7" i="6"/>
  <c r="E7" i="6" s="1"/>
  <c r="B7" i="6"/>
  <c r="G20" i="1" s="1"/>
  <c r="C24" i="11" s="1"/>
  <c r="E6" i="6"/>
  <c r="J19" i="1" s="1"/>
  <c r="F23" i="11" s="1"/>
  <c r="D6" i="6"/>
  <c r="C6" i="6"/>
  <c r="B6" i="6"/>
  <c r="G19" i="1" s="1"/>
  <c r="C23" i="11" s="1"/>
  <c r="E5" i="6"/>
  <c r="D5" i="6"/>
  <c r="C5" i="6"/>
  <c r="B5" i="6"/>
  <c r="G18" i="1" s="1"/>
  <c r="C22" i="11" s="1"/>
  <c r="E4" i="6"/>
  <c r="J17" i="1" s="1"/>
  <c r="F21" i="11" s="1"/>
  <c r="D4" i="6"/>
  <c r="D3" i="6" s="1"/>
  <c r="I16" i="1" s="1"/>
  <c r="E20" i="11" s="1"/>
  <c r="C4" i="6"/>
  <c r="C3" i="6" s="1"/>
  <c r="H16" i="1" s="1"/>
  <c r="D20" i="11" s="1"/>
  <c r="B4" i="6"/>
  <c r="B12" i="6" s="1"/>
  <c r="B17" i="6" s="1"/>
  <c r="D141" i="5"/>
  <c r="B141" i="5"/>
  <c r="G138" i="5"/>
  <c r="D110" i="5"/>
  <c r="B110" i="5"/>
  <c r="G107" i="5"/>
  <c r="D79" i="5"/>
  <c r="B79" i="5"/>
  <c r="G76" i="5"/>
  <c r="D48" i="5"/>
  <c r="B48" i="5"/>
  <c r="G45" i="5"/>
  <c r="D17" i="5"/>
  <c r="B17" i="5"/>
  <c r="G14" i="5"/>
  <c r="D8" i="5"/>
  <c r="C8" i="5"/>
  <c r="E8" i="5" s="1"/>
  <c r="J14" i="1" s="1"/>
  <c r="F18" i="11" s="1"/>
  <c r="D7" i="5"/>
  <c r="C7" i="5"/>
  <c r="E7" i="5" s="1"/>
  <c r="J13" i="1" s="1"/>
  <c r="F17" i="11" s="1"/>
  <c r="D6" i="5"/>
  <c r="C6" i="5"/>
  <c r="H12" i="1" s="1"/>
  <c r="D16" i="11" s="1"/>
  <c r="D5" i="5"/>
  <c r="E5" i="5" s="1"/>
  <c r="J11" i="1" s="1"/>
  <c r="F15" i="11" s="1"/>
  <c r="C5" i="5"/>
  <c r="H11" i="1" s="1"/>
  <c r="D15" i="11" s="1"/>
  <c r="D4" i="5"/>
  <c r="I10" i="1" s="1"/>
  <c r="E14" i="11" s="1"/>
  <c r="C4" i="5"/>
  <c r="D109" i="4"/>
  <c r="B109" i="4"/>
  <c r="G106" i="4"/>
  <c r="D78" i="4"/>
  <c r="B78" i="4"/>
  <c r="G75" i="4"/>
  <c r="D47" i="4"/>
  <c r="B47" i="4"/>
  <c r="G44" i="4"/>
  <c r="D16" i="4"/>
  <c r="B16" i="4"/>
  <c r="G13" i="4"/>
  <c r="E7" i="4"/>
  <c r="D7" i="4"/>
  <c r="C7" i="4"/>
  <c r="E6" i="4"/>
  <c r="D6" i="4"/>
  <c r="C6" i="4"/>
  <c r="D5" i="4"/>
  <c r="C5" i="4"/>
  <c r="E5" i="4" s="1"/>
  <c r="E4" i="4"/>
  <c r="D4" i="4"/>
  <c r="D3" i="4" s="1"/>
  <c r="I3" i="1" s="1"/>
  <c r="E7" i="11" s="1"/>
  <c r="C4" i="4"/>
  <c r="C3" i="4" s="1"/>
  <c r="H3" i="1" s="1"/>
  <c r="D7" i="11" s="1"/>
  <c r="I45" i="1"/>
  <c r="L29" i="11" s="1"/>
  <c r="H45" i="1"/>
  <c r="K29" i="11" s="1"/>
  <c r="G45" i="1"/>
  <c r="J29" i="11" s="1"/>
  <c r="I44" i="1"/>
  <c r="L28" i="11" s="1"/>
  <c r="H44" i="1"/>
  <c r="K28" i="11" s="1"/>
  <c r="G44" i="1"/>
  <c r="J28" i="11" s="1"/>
  <c r="I43" i="1"/>
  <c r="L27" i="11" s="1"/>
  <c r="H43" i="1"/>
  <c r="K27" i="11" s="1"/>
  <c r="G43" i="1"/>
  <c r="J27" i="11" s="1"/>
  <c r="I42" i="1"/>
  <c r="L26" i="11" s="1"/>
  <c r="H42" i="1"/>
  <c r="K26" i="11" s="1"/>
  <c r="G42" i="1"/>
  <c r="J26" i="11" s="1"/>
  <c r="I39" i="1"/>
  <c r="L23" i="11" s="1"/>
  <c r="H39" i="1"/>
  <c r="K23" i="11" s="1"/>
  <c r="I38" i="1"/>
  <c r="L22" i="11" s="1"/>
  <c r="H38" i="1"/>
  <c r="K22" i="11" s="1"/>
  <c r="I36" i="1"/>
  <c r="L20" i="11" s="1"/>
  <c r="H36" i="1"/>
  <c r="K20" i="11" s="1"/>
  <c r="I33" i="1"/>
  <c r="H33" i="1"/>
  <c r="K17" i="11" s="1"/>
  <c r="J32" i="1"/>
  <c r="M16" i="11" s="1"/>
  <c r="I32" i="1"/>
  <c r="L16" i="11" s="1"/>
  <c r="H32" i="1"/>
  <c r="K16" i="11" s="1"/>
  <c r="I31" i="1"/>
  <c r="L15" i="11" s="1"/>
  <c r="I28" i="1"/>
  <c r="L12" i="11" s="1"/>
  <c r="H28" i="1"/>
  <c r="K12" i="11" s="1"/>
  <c r="I27" i="1"/>
  <c r="L11" i="11" s="1"/>
  <c r="H26" i="1"/>
  <c r="K10" i="11" s="1"/>
  <c r="I25" i="1"/>
  <c r="L9" i="11" s="1"/>
  <c r="H25" i="1"/>
  <c r="K9" i="11" s="1"/>
  <c r="I24" i="1"/>
  <c r="L8" i="11" s="1"/>
  <c r="H24" i="1"/>
  <c r="K8" i="11" s="1"/>
  <c r="I21" i="1"/>
  <c r="E25" i="11" s="1"/>
  <c r="H21" i="1"/>
  <c r="D25" i="11" s="1"/>
  <c r="I20" i="1"/>
  <c r="E24" i="11" s="1"/>
  <c r="I19" i="1"/>
  <c r="E23" i="11" s="1"/>
  <c r="H19" i="1"/>
  <c r="D23" i="11" s="1"/>
  <c r="J18" i="1"/>
  <c r="F22" i="11" s="1"/>
  <c r="I18" i="1"/>
  <c r="E22" i="11" s="1"/>
  <c r="H18" i="1"/>
  <c r="D22" i="11" s="1"/>
  <c r="I17" i="1"/>
  <c r="E21" i="11" s="1"/>
  <c r="H17" i="1"/>
  <c r="D21" i="11" s="1"/>
  <c r="I14" i="1"/>
  <c r="E18" i="11" s="1"/>
  <c r="I13" i="1"/>
  <c r="E17" i="11" s="1"/>
  <c r="H13" i="1"/>
  <c r="D17" i="11" s="1"/>
  <c r="I12" i="1"/>
  <c r="E16" i="11" s="1"/>
  <c r="I11" i="1"/>
  <c r="E15" i="11" s="1"/>
  <c r="H10" i="1"/>
  <c r="D14" i="11" s="1"/>
  <c r="J7" i="1"/>
  <c r="F11" i="11" s="1"/>
  <c r="I7" i="1"/>
  <c r="E11" i="11" s="1"/>
  <c r="H7" i="1"/>
  <c r="D11" i="11" s="1"/>
  <c r="J6" i="1"/>
  <c r="F10" i="11" s="1"/>
  <c r="I6" i="1"/>
  <c r="E10" i="11" s="1"/>
  <c r="H6" i="1"/>
  <c r="D10" i="11" s="1"/>
  <c r="I5" i="1"/>
  <c r="E9" i="11" s="1"/>
  <c r="H5" i="1"/>
  <c r="D9" i="11" s="1"/>
  <c r="J4" i="1"/>
  <c r="F8" i="11" s="1"/>
  <c r="I4" i="1"/>
  <c r="E8" i="11" s="1"/>
  <c r="H4" i="1"/>
  <c r="D8" i="11" s="1"/>
  <c r="E3" i="4" l="1"/>
  <c r="J3" i="1" s="1"/>
  <c r="F7" i="11" s="1"/>
  <c r="J5" i="1"/>
  <c r="F9" i="11" s="1"/>
  <c r="E3" i="9"/>
  <c r="J35" i="1" s="1"/>
  <c r="M19" i="11" s="1"/>
  <c r="J36" i="1"/>
  <c r="M20" i="11" s="1"/>
  <c r="E3" i="10"/>
  <c r="J41" i="1" s="1"/>
  <c r="M25" i="11" s="1"/>
  <c r="J42" i="1"/>
  <c r="M26" i="11" s="1"/>
  <c r="E3" i="6"/>
  <c r="J16" i="1" s="1"/>
  <c r="F20" i="11" s="1"/>
  <c r="J20" i="1"/>
  <c r="F24" i="11" s="1"/>
  <c r="I26" i="1"/>
  <c r="L10" i="11" s="1"/>
  <c r="H27" i="1"/>
  <c r="K11" i="11" s="1"/>
  <c r="D3" i="5"/>
  <c r="I9" i="1" s="1"/>
  <c r="E13" i="11" s="1"/>
  <c r="B43" i="6"/>
  <c r="B48" i="6" s="1"/>
  <c r="E4" i="8"/>
  <c r="E4" i="7"/>
  <c r="C3" i="5"/>
  <c r="H9" i="1" s="1"/>
  <c r="D13" i="11" s="1"/>
  <c r="H20" i="1"/>
  <c r="D24" i="11" s="1"/>
  <c r="H14" i="1"/>
  <c r="D18" i="11" s="1"/>
  <c r="B74" i="6"/>
  <c r="B79" i="6" s="1"/>
  <c r="C3" i="10"/>
  <c r="H41" i="1" s="1"/>
  <c r="K25" i="11" s="1"/>
  <c r="G21" i="1"/>
  <c r="H37" i="1"/>
  <c r="K21" i="11" s="1"/>
  <c r="E4" i="5"/>
  <c r="I37" i="1"/>
  <c r="L21" i="11" s="1"/>
  <c r="C3" i="9"/>
  <c r="H35" i="1" s="1"/>
  <c r="K19" i="11" s="1"/>
  <c r="G17" i="1"/>
  <c r="C21" i="11" s="1"/>
  <c r="H31" i="1"/>
  <c r="K15" i="11" s="1"/>
  <c r="E6" i="5"/>
  <c r="J12" i="1" s="1"/>
  <c r="F16" i="11" s="1"/>
  <c r="A10" i="6"/>
  <c r="J24" i="1" l="1"/>
  <c r="M8" i="11" s="1"/>
  <c r="E3" i="7"/>
  <c r="J23" i="1" s="1"/>
  <c r="M7" i="11" s="1"/>
  <c r="J10" i="1"/>
  <c r="F14" i="11" s="1"/>
  <c r="E3" i="5"/>
  <c r="J9" i="1" s="1"/>
  <c r="F13" i="11" s="1"/>
  <c r="E3" i="8"/>
  <c r="J30" i="1" s="1"/>
  <c r="M14" i="11" s="1"/>
  <c r="J31" i="1"/>
  <c r="M15" i="11" s="1"/>
</calcChain>
</file>

<file path=xl/sharedStrings.xml><?xml version="1.0" encoding="utf-8"?>
<sst xmlns="http://schemas.openxmlformats.org/spreadsheetml/2006/main" count="687" uniqueCount="226">
  <si>
    <t>Maturity Rating</t>
  </si>
  <si>
    <t>Impact Rating</t>
  </si>
  <si>
    <t>Criticality Score</t>
  </si>
  <si>
    <t>Customer</t>
  </si>
  <si>
    <t>Total Segment Score</t>
  </si>
  <si>
    <t>Products, Markets and Channels</t>
  </si>
  <si>
    <t>Marketing and Branding</t>
  </si>
  <si>
    <t>Sales and Pricing</t>
  </si>
  <si>
    <t>Customer Experience</t>
  </si>
  <si>
    <t>People</t>
  </si>
  <si>
    <t>Capability</t>
  </si>
  <si>
    <t>Performance Management</t>
  </si>
  <si>
    <t>Innovation</t>
  </si>
  <si>
    <t>Leadership</t>
  </si>
  <si>
    <t>Rewards</t>
  </si>
  <si>
    <t>Operations</t>
  </si>
  <si>
    <t>Finance</t>
  </si>
  <si>
    <t>Finance Process and Control</t>
  </si>
  <si>
    <t>Stakeholder Management</t>
  </si>
  <si>
    <t>People and Organization</t>
  </si>
  <si>
    <t>Data and Technology</t>
  </si>
  <si>
    <t>Funding Growth</t>
  </si>
  <si>
    <t>Analytics</t>
  </si>
  <si>
    <t>Digital Enterprise</t>
  </si>
  <si>
    <t>Data and Analytics</t>
  </si>
  <si>
    <t>Security and Privacy</t>
  </si>
  <si>
    <t>Risk</t>
  </si>
  <si>
    <t>Governance</t>
  </si>
  <si>
    <t>Risk Management</t>
  </si>
  <si>
    <t>Policy and Compliance</t>
  </si>
  <si>
    <t>Impact</t>
  </si>
  <si>
    <t>About the Enterprise Viability Assessment Tool</t>
  </si>
  <si>
    <t xml:space="preserve">The Enterprise Viability Assessment is part of the larger business plan development process in which you will go through to develop the plans. The assessment framework has been developed to aid you in being able to understand the status quo of the enterprise so that one can easily highlight which aspects of the firm need to be improved upon to increase business resilience and growth potential.  </t>
  </si>
  <si>
    <t>How to Use the Enterprise Viability Assessment Tool</t>
  </si>
  <si>
    <t>Enterprise Impact Rating</t>
  </si>
  <si>
    <t>The enterprise impact rating is used to assess how much of an impact does this element of the business have on the overall sustainability of the enterprise.</t>
  </si>
  <si>
    <t>Criteria Evaluation</t>
  </si>
  <si>
    <t>▪ This aspect of the business is critical to the success of the business</t>
  </si>
  <si>
    <t>▪ This aspect of the business is of neutral importance to the success of the business</t>
  </si>
  <si>
    <t>▪ This aspect of the business is not critical to the success of the business</t>
  </si>
  <si>
    <t>▪ At this stage of the company this aspect of the business is not needed.</t>
  </si>
  <si>
    <t>Functional Maturity Rating</t>
  </si>
  <si>
    <t>The enterprise development rating is used to analyze different functional areas of the enterprise</t>
  </si>
  <si>
    <t>▪ The business is expanding globally into diversified markets. 
▪ It offers customized products and services for multichannel and distributors. It evaluates its business portfolio in a structured fashion, which drives strategy decision making. 
▪ It uses advanced analytics to micro-segment its customer base and provide a tailored customer experience</t>
  </si>
  <si>
    <t>▪ The business is focused on developing deeper, long-term and continuous relationships.
▪ Brand value is a true differentiator and leads to increased margins.
▪ Increasingly innovative and responsive digital marketing is integrated with traditional methods</t>
  </si>
  <si>
    <t>▪ Brand and reputation generates sales. 
▪ Rewards are based on long-term customer experiences.
▪ Pricing is based on customer lifetime value
▪ Competitor's activities and market trends are comprehensively evaluated to proactively evolve products and services.</t>
  </si>
  <si>
    <t>▪ The quality of the consumer brand experience turns customers into advocates. They contribute ideas and insights that help the development of new products and services.
▪ Customer experience fulfills the brand promise.
▪ Quality of experience is personalized and consistent across all channels and touch points
▪ Solving customer  issues before they arise is focus</t>
  </si>
  <si>
    <t xml:space="preserve">▪ The company is enhancing products for its existing customer base and exploring new markets for its existing products.
▪ Business is expanding
▪ Sales and distribution is multichannel
▪ Analytical methods are updated regularly and are based on macro-segments
</t>
  </si>
  <si>
    <t>▪ Marketing is focused on retention, cross-selling and up-selling. 
▪ Pricing is based on customer life-time value.
▪ Leadership understand the value of the brand.
▪ The company is leveraging digital marketing to attract and retain customers.</t>
  </si>
  <si>
    <t>▪ Sales are managed through robust account management processes. 
▪ Staff are rewarded for exceeding sales targets and customer satisfaction.
▪ Price and margins are set for specific customer segments or accounts.
▪ Knowledge of competitors is used to influence pricing and cost strategy.</t>
  </si>
  <si>
    <t>▪ The current portfolio of products and services meets existing customer needs.
▪ The quality of experience is consistent within, but not always across, all channels
▪ The business regularly measures customer satisfaction and attitude levels</t>
  </si>
  <si>
    <t>▪  The business is focused on maximizing sales volume with current products and services with existing customers 
▪  Markets are often just local
▪  The business has a few sales and distribution channels and its exploring further expansion.
▪ Basic segmentation is based on demographics and sales information.</t>
  </si>
  <si>
    <t>▪ Marketing is focused on products and services.
▪ Marketing is reliant on word of mouth, social media, or traditional media.</t>
  </si>
  <si>
    <t>▪ Staff are rewarded for meeting sales targets.
▪ Price and margin are based on single-sale transactions
▪ The competitive environment is understood</t>
  </si>
  <si>
    <t>▪ Individual product and service and channels drive customers experience. 
▪ Customer experience is siloed and often different across touch points.
The business periodically measures customer satisfaction.</t>
  </si>
  <si>
    <t>▪  The company has not yet fully developed its product line.
▪  The company has not yet been able to segement the market.</t>
  </si>
  <si>
    <t>▪  The enterprise does not yet have any marketing done for the company.
▪  As the company is nacent, the firm has limited word of mouth marketing opportunities.</t>
  </si>
  <si>
    <t>▪  The competitive enviroment is not fully understood.
▪  There is no incentive mechanism in place for sales staff.</t>
  </si>
  <si>
    <t>▪  The enterprise does not yet understand the customer's needs.
▪  The enterprise has no system in place to measure customer satisfaction.</t>
  </si>
  <si>
    <t xml:space="preserve">▪  The culture and values of the business are primary drivers to attract and retain employees
▪  The People Plan plays a fundamental role in strategy and business performance by focusing on an agile workforce, diversity, and technology enablement
▪  Human resources planning is highly proactive and embraces technology and robotics to optimize productivity.
▪  Diversity, agility, and teamwork are embedded in the culture of the business and essential to achieving business goals.
</t>
  </si>
  <si>
    <t>▪ High performance is a fundamental value
▪ The business uses analytics to measure activity and outcomes of both the team and the individual
▪ Continuous feedback is provided throughout the year on performance, rewards, and succession planning.
▪ Performance is embedded into the organization's culture - reward, development and career opportunities.
▪  Values are understood by all. Behaviors are aligned to performance and linked to rewards.</t>
  </si>
  <si>
    <t>▪ Expansion into new product are or markets.
▪ Continuous growth is enabled by an agile workforce.
▪ The business gives employees time to explore novel concepts for ideas.
▪ The company may have groups or pods devoted to innovation.
▪ Innovation is tied to performance-managed rewards and succession: leaders are champions of innovation.</t>
  </si>
  <si>
    <t>▪ Leadership is passionate and inspiring, sets a clear vision and leads by executive.
▪ A diverse leadership team embraces diversity to achieve the best business results.
▪ Leaders perceive themselves as people leaders not operational managers.</t>
  </si>
  <si>
    <t>▪ Behaviors as well as outcomes are rewarded for both the team and the individual.
▪ The focus is on the total flexible rewards, not just compensation with a strong understanding of the total cost and value of the short and long term incentive programs.
▪ A strong employer brand is used to attract, motivate, and retain high performers.
▪ Behavior toward risk management is embedded in rewards structures</t>
  </si>
  <si>
    <t>▪ Human resources are focused on meeting future deadlines and business objectives.
▪ Management and processes drive innovation and strong teamwork within and across the business.
▪ Skills gaps are minimized through a combination of outsourcing, offshoring, and flexible working.</t>
  </si>
  <si>
    <t xml:space="preserve">▪  There is a framework for aligning performance management with business strategy
▪  Cascading business objectives and goals are linked to rewards
▪  Values are embedded in performance management
</t>
  </si>
  <si>
    <t>▪ The business grows by exploiting the full market potential of existing products and services
▪ A focus on commercialization and operations drives significant changes in the organization, its culture and its workforce
▪ The organization develops innovation as a competency. It selects employees who have demonstrated innovation</t>
  </si>
  <si>
    <t>▪ The business recognizes the need for broad skills to achieve market leadership.
▪ The company attracts, selects, develops, and retains future leaders.</t>
  </si>
  <si>
    <t>▪ There are value incentives and total rewards programs segmented to specific employee populations
▪ There is visible evidence of links between performance, rewards and achievement of business objectives</t>
  </si>
  <si>
    <t>▪ Human Resources and focused on meeting current deadlines and business objectives.
▪ Individuals are clear about their personal roles and objectives
▪ The organizational and behavioral culture required to achieve business objectives is clearly understood.</t>
  </si>
  <si>
    <t>▪  Performance is managed on an individual basis
▪ Managers provide ad hoc feedback to employees
▪ Values exist but lack a clear link to performance management</t>
  </si>
  <si>
    <t>▪ The business is oriented toward innovation and looks to disrupt established market dynamics
▪ There is a high distribution of technical know-how
▪ The business attracts talent to innovated and disrupt the market dynamics</t>
  </si>
  <si>
    <t xml:space="preserve">
▪ Leadership understand and is passionate abut the business strategy and motivates people to achieve performance targets.</t>
  </si>
  <si>
    <t>▪ Rewards are provided to attracts and retain individuals and business objectives
▪ Bonuses are used to reward high performance</t>
  </si>
  <si>
    <t>▪ The company does not have all of the human resources needed within the firm to be fully operational</t>
  </si>
  <si>
    <t xml:space="preserve">▪ There is no performance management system in place
</t>
  </si>
  <si>
    <t>▪ The business is not oriented toward innovation
▪ There is not a high distribution of technical know-how
▪ The business does not attract talent to innovate and disrupt market dynamics</t>
  </si>
  <si>
    <t>▪ Leadership does not have the ability to inspire and lead the company</t>
  </si>
  <si>
    <t>▪ There is no system in place to reward high performing individuals within the company</t>
  </si>
  <si>
    <t>Sourcing and Supply Chain</t>
  </si>
  <si>
    <t>Internal Operations and Assets</t>
  </si>
  <si>
    <t>Distribution and Logistics</t>
  </si>
  <si>
    <t>Operations Strategy</t>
  </si>
  <si>
    <t>Operational Excellence and Continuous Improvement</t>
  </si>
  <si>
    <t>▪ The abililty of the enteprise to create efficiencies within the supply chain creates a competitive advantage for the firm.
▪ The sourcing strategy plays a fundamental role in the overall strategy and business performance of the firm.</t>
  </si>
  <si>
    <t>▪  The internal operation strategy plays a fundmental rol in the overall strategy and business performance of the firm.</t>
  </si>
  <si>
    <t>▪ The abililty of the enteprise to create efficiencies within the outbound and distribution creates a competitive advantage for the firm.
▪ The distribution strategy plays a fundamental role in the overall strategy and business performance of the firm.</t>
  </si>
  <si>
    <t>▪ Operational strategy embraces an innovative culture and drives distinct supply chain segemnts fully aligned with the different customer, product and service requirements.
▪ There is an optimal blend of outsourced shared services and in-house capability to meet different client and market needs
▪ The business fully considers the implications of working capital, tax, customs, and internationa trade on performance and reputation.</t>
  </si>
  <si>
    <t>▪ There is highly effective internal and external collaboration, which includes customers and suppliers.
▪ A fully synchronized supply chain achievs market leadeing costs, cash and service levels and enables the businesss to be agile. The business achieves operational excellence by empowering its employees and having a transparent real time and integrated supply chain that effectivly anticipates and respons to market demand.</t>
  </si>
  <si>
    <t>▪ The enterprise has a diversified set of suppliers to the firm which lessons the business's risk.
▪ An understanding of the suppliers' business position is understood which aids the firm in de-risking its supply chain.
▪ The enterprise has been able to work favorable payment terms to suppliers which lessons the working capital need for the firm.
▪ The enterprise has efficient logistics in place to support transport from suppliers to operations of the firm</t>
  </si>
  <si>
    <t>▪ The enterprise's internal facilities give the firm a competitive advantage over the competition 
▪  The enterprise has developed efficient operations which limit the amount of raw and finished product the enterprise has on hand.</t>
  </si>
  <si>
    <t>▪ The enterprise has a diversified set of buyers to the firm which lessons the business's risk.
▪ An understanding of the buyers' business position is understood which aids the firm in de-risking its supply chain.
▪ The enterprise has been able to work favorable payment terms to suppliers which lessons the working capital need for the firm.
▪ The enterprise has efficient logistics in place to support transport from the firm to the buyer</t>
  </si>
  <si>
    <t xml:space="preserve">▪ Operational strategy is integrated across functions to achieve superios outcomes.
▪ All functions share common measure of success, which drives increased customer and shareholder value and operating margin.
▪ The operations stragey takes into account incintives, talents, geopolitical climate, low cost and tax locations.
</t>
  </si>
  <si>
    <t>▪ Cross functional collaboration optimizes total deliverd costs and service levels.
▪ Cost savings and service levls are improved though global and regional consideration of suply chain networks.
▪The business uses fuly alinged cross functional KPIs
▪There is a single point of contact for continuous improvement initiatives driving a common approach.</t>
  </si>
  <si>
    <t>▪ The enterprise has one primary supplier of critical inputs into the business
▪ The enterprise has started to engage with suppliers to be able to extend purchasing on credit to extend working capital of the firm.
▪ The enterprise has established contracts with suppliers which are enforceable. 
▪ The enterprise has functioning logistics to bring inputs to the firm but efficiencies could be strenthened within the supply chain</t>
  </si>
  <si>
    <t>▪ The enterprise's facilities are adequat enough to satisfy the internal operation strategy the firm wants to achieve.
▪  The enterprise has production systems in place to monitor the overal quality and amount of products produced.</t>
  </si>
  <si>
    <t>▪ The enterprise has a limited number of primary buyers
▪ The enterprise has started to engage with buyers to be able to reduce purchasing on credit to extend working capital of the firm.
▪ The enterprise has established contracts with buyers which are enforceable. 
▪ The enterprise has functioning logistics to bring outputs of the firm to market but efficiencies could be strenthened within the supply chain</t>
  </si>
  <si>
    <t>▪ There is an obsessive culture of creating customer value' however, the company's overheah dimishes shareholder value.
▪ Operational strategy is driven locally or within silos.
▪ Functional metrics are frequently seens as a driver of success.</t>
  </si>
  <si>
    <t>▪ There is a focus on operational excellence within silos.
▪ There is a developing culture of continuous improvement.</t>
  </si>
  <si>
    <t>▪ The enterprise currently does not have established relationships with suppliers.
▪ The enterprise does not have an established supply chain operation</t>
  </si>
  <si>
    <t>▪ The firm does not yet have all the functions in place
▪  The enterprise has no tracking system in place to monitor overall production or quality of final goods or services produced.</t>
  </si>
  <si>
    <t>▪ The enterprise currently does not have established relationships with buyers
▪ The enterprise does not have an established distribution operations in place</t>
  </si>
  <si>
    <t>XX?</t>
  </si>
  <si>
    <t>▪ There is not yet any culture of continuous improvement.
▪ Operational excellence is not yet a priority for the enterprise.</t>
  </si>
  <si>
    <t>▪ Strategic and insightful financial and management reporting are real time and fundamental to strategic decision making.
▪Financial policies, processes, and controls are consistent across the enterprise and are highly automated and strategic.
▪Integrated financial and tax planning provisioning and compliance reduce financial and reputational risk.</t>
  </si>
  <si>
    <t>▪ Key stakeholders are banks, primary investors, regulators, people, policymakers, and communities.
▪ The business clearly articulates its whole corporate story and tailors it to individual stakeholders.
▪ There is a track record of consistent delivery against promises.
▪ The company is ready to explain its tax position to regulators and the public.</t>
  </si>
  <si>
    <t xml:space="preserve">▪ The structure is highly efficient and effective.
▪  The structure is an optimal combination of shared services, outsourcing, and local capability which enables the group to provide consistent services.
▪ Finance is a reliable pipeline of leadership talent for the business.
</t>
  </si>
  <si>
    <t>▪ Efficient and effective financial systems enable most finance and tax resources to focus on enhancing business performance.
▪ Management produces financial forecasts that are comprehensive and reliable to making strategic business decisions.
▪ Financial data is an assets that is actively managed and highly valued.</t>
  </si>
  <si>
    <t>▪ The growth funding strategy supports the business strategy which includes:
▪ Established sources of optimal capital and associated costs.
▪ Working capital optimization as an asset, not a liability.
▪ Integrated assets management, acquisition and disposal and exit plans.
▪ Tax planning as a source of capital
▪ A capital allocation plan.</t>
  </si>
  <si>
    <t>▪ Timely financial reporting and analysis are used to inform operational decision making.
▪The finance and tax process is responsive.
▪The business has robust financial controls, which are predominantly preventative.</t>
  </si>
  <si>
    <t>▪ Key stakeholders are banks, primary investors, regulators and people.
▪ There are clearly defined roles and responsibilities to manage key stakeholders.
▪ The business understand stakeholder needs and is increasingly transparent in its communications.</t>
  </si>
  <si>
    <t>▪ The structure is highly effective or high effective but rarely both.
▪ Certain activities are centralized to manage costs.
▪ The business suits view the finance function as knowledgeable and relevant.
▪ Strong analytical capability drives business value.</t>
  </si>
  <si>
    <t>▪ Multiple legacy systems support financial and tax processes at a relatively high cost.
▪ Common financial data enables analysis across the enterprise</t>
  </si>
  <si>
    <t>▪ There is access to multiple sources of capital to fund growth.
▪ The business knows how to improve working capital but hasn't fully implemented it yet.
▪ There are evolving functions to mange banks, investors, and other financial stakeholders</t>
  </si>
  <si>
    <t>▪ The primary focus is on measuring and reporting.
▪ Financial and tax controls are detective rather than preventative. They are primarily maintained by executives.</t>
  </si>
  <si>
    <t>▪ Key stakeholders are banks and primary investors.
▪ The business builds trust with stakeholders by focusing on compliance and statutory requirements.</t>
  </si>
  <si>
    <t>▪ There are highly specialized functions which work in silos.
▪ Finance resources are effective at managing financial reporting and control.</t>
  </si>
  <si>
    <t>▪ Finance and tax teams rely heavily on basic systems of spreadsheets to compensate for underdeveloped core finance systems.
▪ Accuracy is the primacy focus of financial owners.</t>
  </si>
  <si>
    <t>▪ Lack of funding constrains growth
▪ Leaders are focused on top-line growth and liquidity events.
▪ Capital sources are identified and evaluated.
▪ Leaders are aware of how working capital supports funding</t>
  </si>
  <si>
    <t>▪ The company does not have codified financial controls.
▪ The financial controls in place and rudimentary and ineffective.</t>
  </si>
  <si>
    <t>▪ The business does not have good engagement or assigned responsibility to any stakeholder.</t>
  </si>
  <si>
    <t>▪ Financial functions are generic and lack specialty.
▪ Financial and operational controls are not codified.</t>
  </si>
  <si>
    <t>▪ The importance of data for business decisions is not well understood by the firm.
▪ The firm does not collect relevant financial and operational data.
▪ The firm does not have systems in place to collect relevant financial and operational data.</t>
  </si>
  <si>
    <t>▪ Leaders are not aware of how working capital affects its business
▪ Capital sources are not identified
▪ Lack of funding constrains current operations and key business areas</t>
  </si>
  <si>
    <t>▪ The enterprise has become a digital business. Digital is at the heart of the way it does business, the products and services it offers, and how it interacts with customers, vendors, employees and other stakeholders.
▪ Digital innovation is strongly encouraged within the organization, which enhances the core capabilities of the enterprise and opens up new market opportunities.
▪ Emerging technologies are embraced and adopted within the business in an agile way.
▪ The enterprise values the data within and outside the organization and uses the latest advances analytic techniques to drive action</t>
  </si>
  <si>
    <t xml:space="preserve">▪ The business has a data-driven culture where the use of techniques that fully leverage the internal and external data within the firm drive decision making.
▪ The business leverages advanced analytic techniques and big data to drive a competitive advantage.
▪ There is a culture and approach to experimentation through analytics that influences decisions making across the business.
</t>
  </si>
  <si>
    <t>▪ Security is viewed as a critical component of the company's overall risk management.
▪ Security and primary strategies are driven by protection of the most critical digital assets and support of business growth drivers.
▪ Security efforts follow an active defense approach with proactive identification of issues driven from inside the company and consumption of external, sector relevant threat intelligence.
▪ The focus is on operating a resilient security and privacy capability.</t>
  </si>
  <si>
    <t>▪ Key digital technologies are leveraged to support the existing business model.
▪ The business uses digital technologies to identify trends and impact market information.
▪ Innovation is limited to certain business functions.
▪ The organization waits to adopt new and emerging technologies until they are proven.
▪ The enterprise values data within the organization but uses external data in a restricted way</t>
  </si>
  <si>
    <t>▪ The business recognizes the importance of quality data and has deployed tools and techniques to leverage its own internal data to drive business insight. 
▪ Analytics is starting to be used in various parts of the business to improve decision making and business processes.
▪ The business has started to implement enterprise data, governance, and processes with the appropriate systems to support.
▪ There is limited experimentation with big data.</t>
  </si>
  <si>
    <t>▪ Security architecture is in place that supports a defensive strategy. This provides layers of deterrence that limit attackers ability to access critical digital assets.
▪ The security function recognizes and regularly evaluates the ecosystem including reliance on third partied and business partnerships.
▪ Security is viewed as an IT issue but has oversight from and regular supporting to non IT stakeholders.
▪ The company recognizes and balances investment and operational effort between preventative controls and a strong monitoring and response capability.</t>
  </si>
  <si>
    <t>▪ There is very limited thinking on how the digital experience should be structured
▪ The IT function drives digital applications in response to business requirements
▪ There is limited innovation with new business models or emerging technologies
▪ The enterprise is slow to adopt new technology
▪ The organization has challenges getting value from its own data</t>
  </si>
  <si>
    <t>▪ The business spends a lot of time fixing data quality issues in a tactical way and has limited time to generate real business value and insight from its own data.
▪ There is very limited use of external data.
▪ The focus of analytics is on reporting historical view of data and limited use of what if analysis
▪ Data management is ad hoc throughout the organization and there is limited capability to handle big data</t>
  </si>
  <si>
    <t>▪ The security focus is on building and or maintain perimeter controls and legacy end point controls.
▪ Compliance with regulatory requirements drives security efforts.
▪ Security issues are identified and addressed reactively.
▪ Security and privacy issues are driven bottom up in the organization</t>
  </si>
  <si>
    <t>▪ The enterprise does not adopt to new technologies
▪ The organization does not have in place the ability to collect business level data</t>
  </si>
  <si>
    <t>▪ The enterprise has limited skills to be able to analyze any data collected.
▪ The enterprise has no data management procedures in place.
▪ The enterprise spends no time to analyze data because even collecting data for the firm currently has limitations.</t>
  </si>
  <si>
    <t>▪ The company does not have any security or privacy controls in place.
▪ The company does not internally have the capabilities to understand the security and privacy risks and has yet to outsource this function.</t>
  </si>
  <si>
    <t>▪ There is a strong governance structure in place, including an independent board of directors with strong industry experience and other active committees.
▪ A model using leadership, risk management and internal audit is well defined and fully understood across the organization.
▪ Leadership set the risk culture and appetite in a tone from the top.</t>
  </si>
  <si>
    <t xml:space="preserve">▪ Efficient and effective enterprise-wide risk management delivers improved business performance, better profits, well-managed and secure growth and efficient use of capital.
▪ Risk management features regularly in investor and analyst dialog, attracts investment and drives a lower cost of capital.
▪ Risk strategy is clearly articulated and rigorously applied to promote decisions at all levels.
▪ Risk is embedded in the operational culture of the business.
▪ Key business risk are aligned to Key Performance Indicators and managed to ensure business objectives are met.
</t>
  </si>
  <si>
    <t>▪ There is a comprehensive documented, group-wide policy framework to manage business risk with strong leadership tone from the top.
▪ The risk framework extends to external stakeholders in the value chain.
▪ The business contributes to the development of the regulatory landscape.
▪ Governance, risk and compliance technologies, such as software packages, are used in a coordinated and integrated manner to support risk activities across the organization.</t>
  </si>
  <si>
    <t>▪ Effective risk management enhances reputation, brand, and stakeholder trust in the business and drives investor confidence.
▪ Risk management is a differentiating factor in stakeholder investment.
▪ The business publishes annual corporate social responsibility reports.
▪ The company proactively communicates its risk management program to regulators and the public.</t>
  </si>
  <si>
    <t>▪ The board of directors and audit committee are actively involved in oversight.
▪ Independent risk and control functions' roles and responsibilities are clearly defined and documented and follow a model incorporating leadership, risk management, and internal audit.</t>
  </si>
  <si>
    <t>▪ There is a structured approach to identifying, monitoring and assessing key risks and controls.
▪ Risk management influences all key expenditures.
▪ Risk management is clearly articulated in all role descriptions and performance criteria.
▪ Risk relating to financial, tax, legal and other compliance activities are actively managed.</t>
  </si>
  <si>
    <t>▪ Individual functions have formally documented policies and procedures. These are aligned to overall business strategies and objectives.
▪ There is an independent compliance function to manage internal and external regulations.
▪ Governance risk and compliance technologies are enabled to select risk activities.</t>
  </si>
  <si>
    <t xml:space="preserve">▪ The business effectively communicates risk and risk management in response to stakeholder inquires
</t>
  </si>
  <si>
    <t>▪ A board of directors or informal advisory board exists.
▪ Leaders of the business are responsible for governance and they tend to manage this in silos.</t>
  </si>
  <si>
    <t>▪ Management shared responsibility for identifying, documenting, and regularly reviewing key risks that are critical to achieving business objectives.</t>
  </si>
  <si>
    <t xml:space="preserve">▪ Management leads the development and control of risk and procedures for major risks. 
▪ The business has a reactive approach to complying with internal and external regulations.
▪ Microsoft Office and other products are used to enable risk activities.
</t>
  </si>
  <si>
    <t>▪ Management tells key stakeholders how they handle the most important risk</t>
  </si>
  <si>
    <t>▪ There is no defined governance structure in place.</t>
  </si>
  <si>
    <t>▪ The company does not have a firm understanding of the key risks that affect the business
▪ The company is not fully aware of all regulatory and compliance activities that need to take place.</t>
  </si>
  <si>
    <t>▪ The company does not have developed policies in place to account for the risk, financial, and operational aspects of the firm.</t>
  </si>
  <si>
    <t>▪ Management has limited ability to inform stakeholders on the risk management practices as these have not yet developed strategies around risk mitigation</t>
  </si>
  <si>
    <t>Impact Metrics</t>
  </si>
  <si>
    <t>Technology</t>
  </si>
  <si>
    <t>Design</t>
  </si>
  <si>
    <t>▪ The enterprise has a robust grasp of the social impact that it creates through understanding the breath (how many), depth (by how much), and social inclusion (percent women, youth, lower poverty).</t>
  </si>
  <si>
    <t>▪ Efficient and effective social impact systems enable most impact resources to focus on enhancing the social impact of the business
▪ Management produces social impact forecasts that are comprehensive and reliable to making strategic business decisions which effect social impact
▪ Social impact data is an asset that is actively managed and highly valued.</t>
  </si>
  <si>
    <t xml:space="preserve">▪ The business has a data-driven culture where the use of techniques that fully leverage the internal and external data within the firm to drive social impact decision making.
▪ The business leverages advanced analytic techniques and big data to understand the best ways to create more social impact
▪ There is a culture and approach to experimentation through analytics that influences decision making across the business.
</t>
  </si>
  <si>
    <t>▪ The firm has developed a business model in which its primary function is to create a sustainable business which maximizes the social impact that it can create.
▪ The enterprise utilizes social impact data to be able to refine the products, services, and business model to create more sustainable impact.</t>
  </si>
  <si>
    <t>▪ The firm has a firm understanding on at least one but not all of the social impact that it creates through understanding the breath (how many), depth (by how much), and social inclusion (percent women, youth, lower poverty).</t>
  </si>
  <si>
    <t>▪ Multiple legacy systems support social impact measurement processes at a relatively high cost.
▪ Common social impact data enables analysis across the enterprise</t>
  </si>
  <si>
    <t xml:space="preserve">▪ The business recognizes the importance of quality data and has deployed tools and techniques to leverage its own internal social impact data to drive business insight. 
▪ Analytics is starting to be used social impact to improve decision making and business processes.
</t>
  </si>
  <si>
    <t>▪ Social impact is integrated into the business model of the enterprise
▪ The enterprise does not fully utilize social impact data to refine the business model of the firm.</t>
  </si>
  <si>
    <t>▪ The firm has started to have an understanding of the social impact in which it creates.
▪ The firm has developed initial metrics in which it tracks its social impact</t>
  </si>
  <si>
    <t>▪ Social impact teams rely heavily  on basic systems of spreadsheets to compensate for underdeveloped social impact data collection systems.
▪ Accuracy is the primacy focus of people who monitor social impact data.</t>
  </si>
  <si>
    <t>▪ The business spends a lot of time fixing data quality issues in a tactile way and has limited time to generate real insight from its own data.
▪ There is very limited use of external data.
▪ The focus of analytics is on reporting historical view of data and limited use of what if analysis
▪ Data management is ad hoc throughout the organization and there is limited capability to handle big data</t>
  </si>
  <si>
    <t>▪ The firm does not adapt the business model to be able to maximize social impact</t>
  </si>
  <si>
    <t>▪ The firm does not understand what type of social impact that it creates through its business operations</t>
  </si>
  <si>
    <t>▪ The importance of social impact data for business decisions is not well understood by the firm.
▪ The firm does not collect relevant social impact data.
▪ The firm does not have systems in place to collect relevant social impact data.</t>
  </si>
  <si>
    <t>▪ The enterprise has limited skills to be able to analyze any social impact data collected.
▪ The enterprise has no data management procedures in place to collect social impact data
▪ The enterprise spends no time to analyze data because even collecting social impact data for the firm currently has limitations.</t>
  </si>
  <si>
    <t>▪ The business model of the enterprise has no forethought into the design of the model</t>
  </si>
  <si>
    <t>Segment Focus Area:</t>
  </si>
  <si>
    <t>Please change here to switch focus area</t>
  </si>
  <si>
    <t>Questions to Ask</t>
  </si>
  <si>
    <t>▪ How do you categorize your lines of business and what are your plans for expansion?</t>
  </si>
  <si>
    <t>▪ For each line, how do you deliver them geographically? Are you condiering entering into new markets? Timeframe?</t>
  </si>
  <si>
    <t>▪ How would you characterize your approach to markets and sales channels?</t>
  </si>
  <si>
    <t>▪ What innovation is occurring within the segment? Does the firm have the right product mix to target the segmentation?</t>
  </si>
  <si>
    <t>▪ What is the value proposition to each of its segmented clients?</t>
  </si>
  <si>
    <t>▪ What is the current product portfolio of the firm?</t>
  </si>
  <si>
    <t>▪ Do you have plans to extend this differentiation?</t>
  </si>
  <si>
    <t>Comments</t>
  </si>
  <si>
    <t>Client Actions</t>
  </si>
  <si>
    <t>End of Section</t>
  </si>
  <si>
    <t>▪ How do yu seek to understand the current and future needs of your clients?</t>
  </si>
  <si>
    <t>▪ Do you know what prevents potential customers from choosing you?</t>
  </si>
  <si>
    <t>▪ How important id branding to your service offering?</t>
  </si>
  <si>
    <t>▪ Do you forsee any planned or proposed changed to brand strategy?</t>
  </si>
  <si>
    <t>▪ Describe how your marketing strategy has changed to incorporate digital marketing?</t>
  </si>
  <si>
    <t>▪ How does the firm set its pricing strategy?</t>
  </si>
  <si>
    <t>▪ Does the company have any strategy in place to push sales through various channels?</t>
  </si>
  <si>
    <t>▪ Is there any incentive structure in place to encourage sales by sales staff? If so what is this structure?</t>
  </si>
  <si>
    <t>▪ For each of the revenue streams, who are your largest competititrso and how do you differntiate the customer experience?</t>
  </si>
  <si>
    <t>▪ Does the enterprise engage with the customer to ensure that that this is successful?</t>
  </si>
  <si>
    <t>▪ How do you measure your customer's satisfaction?</t>
  </si>
  <si>
    <t>▪  The key question here is to understand if the company has the personal required to be able to implement their business strategy.</t>
  </si>
  <si>
    <t>▪  What type of skill and experience are needed for this type of business?</t>
  </si>
  <si>
    <t>▪  Does key management have the required level of personal style and motivation, intellectual ability, technical or professional skills and expertise, and behavior to implement the strategy?</t>
  </si>
  <si>
    <t>·        How do you categorize your line s of business?</t>
  </si>
  <si>
    <t>·        What are your plans for expansion?</t>
  </si>
  <si>
    <t>·        What is the value proposition to each of its segmented clients?</t>
  </si>
  <si>
    <t>·        What innovation is occurring within the segment? Does the firm have the right product mix to target the segmentation?</t>
  </si>
  <si>
    <t>·        What is the current product portfolio of the firm?</t>
  </si>
  <si>
    <t>·        What is the pricing strategy of the firm?</t>
  </si>
  <si>
    <t>▪  What does the in-bound logistics from suppliers look like for the firm?</t>
  </si>
  <si>
    <t>▪  The major question is to understand the ability of the supplier to be able to timely supply quality and quantity to the company.</t>
  </si>
  <si>
    <t>▪  What is the supplier’s payment terms? Is there any ability to be able to extend payment to improve cash flows?</t>
  </si>
  <si>
    <t>▪  Does the company have contracts with suppliers? If yes, what type of contracts are in place?</t>
  </si>
  <si>
    <t>▪  What capability and capacity does the firm have to be able to warehouse inventory and finished products?</t>
  </si>
  <si>
    <t>▪  Are the company’s facilities adequate to be able to service the company with the strategy that it wants to implement?</t>
  </si>
  <si>
    <r>
      <rPr>
        <sz val="11"/>
        <color theme="1"/>
        <rFont val="Calibri"/>
        <family val="2"/>
      </rPr>
      <t xml:space="preserve">▪  </t>
    </r>
    <r>
      <rPr>
        <sz val="11"/>
        <color theme="1"/>
        <rFont val="Calibri"/>
        <family val="2"/>
      </rPr>
      <t>What is the current production capacity, utilization, break-even of the internal operations?</t>
    </r>
  </si>
  <si>
    <t>▪  Does the firm have proper quality and safety standard for the product lines?</t>
  </si>
  <si>
    <t>▪ Does the firm have systems in place to monitor and control for quality?</t>
  </si>
  <si>
    <r>
      <rPr>
        <sz val="11"/>
        <color theme="1"/>
        <rFont val="Noto Sans Symbols"/>
      </rPr>
      <t>·</t>
    </r>
    <r>
      <rPr>
        <sz val="7"/>
        <color theme="1"/>
        <rFont val="Times New Roman"/>
        <family val="1"/>
      </rPr>
      <t xml:space="preserve">        </t>
    </r>
    <r>
      <rPr>
        <sz val="11"/>
        <color theme="1"/>
        <rFont val="Calibri"/>
        <family val="2"/>
      </rPr>
      <t>What does the out-bound logistics to customer look like for the firm?</t>
    </r>
  </si>
  <si>
    <t>▪ How is operational strategy defined and managed?</t>
  </si>
  <si>
    <t>▪ How are the outcomes of operational strategy measured and reported?</t>
  </si>
  <si>
    <t>▪ Have you performed and assessment of the outsources, shared service, and in-house capability of various elements of operations?</t>
  </si>
  <si>
    <t>▪ How is continuous improvement embedded within the organization?</t>
  </si>
  <si>
    <t>▪ How do you measure improvements across the organization?</t>
  </si>
  <si>
    <r>
      <rPr>
        <sz val="11"/>
        <color theme="1"/>
        <rFont val="Noto Sans Symbols"/>
      </rPr>
      <t>·</t>
    </r>
    <r>
      <rPr>
        <sz val="7"/>
        <color theme="1"/>
        <rFont val="Times New Roman"/>
        <family val="1"/>
      </rPr>
      <t xml:space="preserve">        </t>
    </r>
    <r>
      <rPr>
        <sz val="11"/>
        <color theme="1"/>
        <rFont val="Calibri"/>
        <family val="2"/>
      </rPr>
      <t>Does the company currently collect impact measurements? If yes, what are the metrics that the company collects?</t>
    </r>
  </si>
  <si>
    <r>
      <rPr>
        <sz val="11"/>
        <color theme="1"/>
        <rFont val="Noto Sans Symbols"/>
      </rPr>
      <t>·</t>
    </r>
    <r>
      <rPr>
        <sz val="7"/>
        <color theme="1"/>
        <rFont val="Times New Roman"/>
        <family val="1"/>
      </rPr>
      <t xml:space="preserve">        </t>
    </r>
    <r>
      <rPr>
        <sz val="11"/>
        <color theme="1"/>
        <rFont val="Calibri"/>
        <family val="2"/>
      </rPr>
      <t>How does the company collect its impact information?</t>
    </r>
  </si>
  <si>
    <r>
      <rPr>
        <sz val="11"/>
        <color theme="1"/>
        <rFont val="Noto Sans Symbols"/>
      </rPr>
      <t>·</t>
    </r>
    <r>
      <rPr>
        <sz val="7"/>
        <color theme="1"/>
        <rFont val="Times New Roman"/>
        <family val="1"/>
      </rPr>
      <t xml:space="preserve">        </t>
    </r>
    <r>
      <rPr>
        <sz val="11"/>
        <color theme="1"/>
        <rFont val="Calibri"/>
        <family val="2"/>
      </rPr>
      <t>Does the company utilize the collected data to make informed business decisions?</t>
    </r>
  </si>
  <si>
    <t>Enterprise Viability Assessment Tool</t>
  </si>
  <si>
    <t>Maturity</t>
  </si>
  <si>
    <t>Criticality</t>
  </si>
  <si>
    <t>Operational Excellence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</si>
</sst>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_ ;\-#,##0.0\ "/>
  </numFmts>
  <fonts count="14">
    <font>
      <sz val="11"/>
      <color theme="1"/>
      <name val="Calibri"/>
      <scheme val="minor"/>
    </font>
    <font>
      <sz val="11"/>
      <color theme="1"/>
      <name val="Calibri"/>
      <family val="2"/>
    </font>
    <font>
      <sz val="11"/>
      <color theme="0"/>
      <name val="Calibri"/>
      <family val="2"/>
    </font>
    <font>
      <sz val="10"/>
      <color theme="1"/>
      <name val="Calibri"/>
      <family val="2"/>
    </font>
    <font>
      <sz val="11"/>
      <name val="Calibri"/>
      <family val="2"/>
    </font>
    <font>
      <b/>
      <sz val="11"/>
      <color theme="1"/>
      <name val="Calibri"/>
      <family val="2"/>
    </font>
    <font>
      <b/>
      <sz val="12"/>
      <color theme="1"/>
      <name val="Calibri"/>
      <family val="2"/>
    </font>
    <font>
      <i/>
      <sz val="11"/>
      <color theme="1"/>
      <name val="Calibri"/>
      <family val="2"/>
    </font>
    <font>
      <i/>
      <sz val="10"/>
      <color theme="1"/>
      <name val="Calibri"/>
      <family val="2"/>
    </font>
    <font>
      <b/>
      <sz val="10"/>
      <color theme="1"/>
      <name val="Calibri"/>
      <family val="2"/>
    </font>
    <font>
      <sz val="8"/>
      <color theme="1"/>
      <name val="Calibri"/>
      <family val="2"/>
    </font>
    <font>
      <sz val="10"/>
      <color theme="0"/>
      <name val="Calibri"/>
      <family val="2"/>
    </font>
    <font>
      <sz val="11"/>
      <color theme="1"/>
      <name val="Noto Sans Symbols"/>
    </font>
    <font>
      <sz val="7"/>
      <color theme="1"/>
      <name val="Times New Roman"/>
      <family val="1"/>
    </font>
  </fonts>
  <fills count="6">
    <fill>
      <patternFill patternType="none"/>
    </fill>
    <fill>
      <patternFill patternType="gray125"/>
    </fill>
    <fill>
      <patternFill patternType="solid">
        <fgColor theme="0"/>
        <bgColor theme="0"/>
      </patternFill>
    </fill>
    <fill>
      <patternFill patternType="solid">
        <fgColor rgb="FFD8D8D8"/>
        <bgColor rgb="FFD8D8D8"/>
      </patternFill>
    </fill>
    <fill>
      <patternFill patternType="solid">
        <fgColor rgb="FFF2F2F2"/>
        <bgColor rgb="FFF2F2F2"/>
      </patternFill>
    </fill>
    <fill>
      <patternFill patternType="solid">
        <fgColor rgb="FFFFE600"/>
        <bgColor rgb="FFFFE600"/>
      </patternFill>
    </fill>
  </fills>
  <borders count="29">
    <border>
      <left/>
      <right/>
      <top/>
      <bottom/>
      <diagonal/>
    </border>
    <border>
      <left/>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medium">
        <color rgb="FF000000"/>
      </left>
      <right style="medium">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style="medium">
        <color rgb="FF000000"/>
      </left>
      <right/>
      <top/>
      <bottom/>
      <diagonal/>
    </border>
    <border>
      <left style="medium">
        <color rgb="FF000000"/>
      </left>
      <right/>
      <top/>
      <bottom style="medium">
        <color rgb="FF000000"/>
      </bottom>
      <diagonal/>
    </border>
    <border>
      <left style="medium">
        <color rgb="FF000000"/>
      </left>
      <right/>
      <top style="medium">
        <color rgb="FF000000"/>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right/>
      <top/>
      <bottom/>
      <diagonal/>
    </border>
    <border>
      <left style="thin">
        <color rgb="FFFFE600"/>
      </left>
      <right style="thin">
        <color rgb="FFFFE600"/>
      </right>
      <top style="thin">
        <color rgb="FFFFE600"/>
      </top>
      <bottom style="thin">
        <color rgb="FFFFE600"/>
      </bottom>
      <diagonal/>
    </border>
    <border>
      <left/>
      <right style="medium">
        <color rgb="FF000000"/>
      </right>
      <top style="medium">
        <color rgb="FF000000"/>
      </top>
      <bottom style="medium">
        <color rgb="FF000000"/>
      </bottom>
      <diagonal/>
    </border>
    <border>
      <left/>
      <right/>
      <top/>
      <bottom style="thin">
        <color rgb="FFD8D8D8"/>
      </bottom>
      <diagonal/>
    </border>
    <border>
      <left/>
      <right/>
      <top/>
      <bottom style="thin">
        <color rgb="FFD8D8D8"/>
      </bottom>
      <diagonal/>
    </border>
    <border>
      <left style="thin">
        <color rgb="FFD8D8D8"/>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style="medium">
        <color theme="0"/>
      </bottom>
      <diagonal/>
    </border>
    <border>
      <left style="thin">
        <color rgb="FF000000"/>
      </left>
      <right style="thin">
        <color rgb="FF000000"/>
      </right>
      <top style="thin">
        <color rgb="FF000000"/>
      </top>
      <bottom/>
      <diagonal/>
    </border>
  </borders>
  <cellStyleXfs count="1">
    <xf numFmtId="0" fontId="0" fillId="0" borderId="0"/>
  </cellStyleXfs>
  <cellXfs count="99">
    <xf numFmtId="0" fontId="0" fillId="0" borderId="0" xfId="0"/>
    <xf numFmtId="0" fontId="1" fillId="2" borderId="1" xfId="0" applyFont="1" applyFill="1" applyBorder="1"/>
    <xf numFmtId="0" fontId="1" fillId="2" borderId="1" xfId="0" applyFont="1" applyFill="1" applyBorder="1" applyAlignment="1">
      <alignment horizontal="center"/>
    </xf>
    <xf numFmtId="0" fontId="2" fillId="2" borderId="1" xfId="0" applyFont="1" applyFill="1" applyBorder="1"/>
    <xf numFmtId="0" fontId="1" fillId="2" borderId="1" xfId="0" applyFont="1" applyFill="1" applyBorder="1" applyAlignment="1">
      <alignment horizontal="center" vertical="center"/>
    </xf>
    <xf numFmtId="0" fontId="1" fillId="3" borderId="3" xfId="0" applyFont="1" applyFill="1" applyBorder="1"/>
    <xf numFmtId="164" fontId="3" fillId="4" borderId="4" xfId="0" applyNumberFormat="1" applyFont="1" applyFill="1" applyBorder="1" applyAlignment="1">
      <alignment horizontal="center"/>
    </xf>
    <xf numFmtId="164" fontId="3" fillId="4" borderId="5" xfId="0" applyNumberFormat="1" applyFont="1" applyFill="1" applyBorder="1" applyAlignment="1">
      <alignment horizontal="center"/>
    </xf>
    <xf numFmtId="0" fontId="3" fillId="4" borderId="7" xfId="0" applyFont="1" applyFill="1" applyBorder="1" applyAlignment="1">
      <alignment horizontal="left"/>
    </xf>
    <xf numFmtId="0" fontId="3" fillId="4" borderId="4" xfId="0" applyFont="1" applyFill="1" applyBorder="1" applyAlignment="1">
      <alignment horizontal="center"/>
    </xf>
    <xf numFmtId="0" fontId="3" fillId="4" borderId="5" xfId="0" applyFont="1" applyFill="1" applyBorder="1" applyAlignment="1">
      <alignment horizontal="center"/>
    </xf>
    <xf numFmtId="0" fontId="3" fillId="2" borderId="8" xfId="0" applyFont="1" applyFill="1" applyBorder="1" applyAlignment="1">
      <alignment horizontal="left"/>
    </xf>
    <xf numFmtId="0" fontId="3" fillId="4" borderId="8" xfId="0" applyFont="1" applyFill="1" applyBorder="1" applyAlignment="1">
      <alignment horizontal="left"/>
    </xf>
    <xf numFmtId="0" fontId="3" fillId="2" borderId="10" xfId="0" applyFont="1" applyFill="1" applyBorder="1" applyAlignment="1">
      <alignment horizontal="left"/>
    </xf>
    <xf numFmtId="0" fontId="3" fillId="2" borderId="1" xfId="0" applyFont="1" applyFill="1" applyBorder="1"/>
    <xf numFmtId="0" fontId="3" fillId="2" borderId="1" xfId="0" applyFont="1" applyFill="1" applyBorder="1" applyAlignment="1">
      <alignment horizontal="left"/>
    </xf>
    <xf numFmtId="0" fontId="3" fillId="4" borderId="1" xfId="0" applyFont="1" applyFill="1" applyBorder="1" applyAlignment="1">
      <alignment horizontal="center"/>
    </xf>
    <xf numFmtId="0" fontId="1" fillId="2" borderId="7" xfId="0" applyFont="1" applyFill="1" applyBorder="1"/>
    <xf numFmtId="0" fontId="1" fillId="4" borderId="8" xfId="0" applyFont="1" applyFill="1" applyBorder="1"/>
    <xf numFmtId="0" fontId="1" fillId="2" borderId="8" xfId="0" applyFont="1" applyFill="1" applyBorder="1"/>
    <xf numFmtId="0" fontId="1" fillId="2" borderId="10" xfId="0" applyFont="1" applyFill="1" applyBorder="1"/>
    <xf numFmtId="0" fontId="1" fillId="3" borderId="11" xfId="0" applyFont="1" applyFill="1" applyBorder="1"/>
    <xf numFmtId="0" fontId="3" fillId="2" borderId="12" xfId="0" applyFont="1" applyFill="1" applyBorder="1"/>
    <xf numFmtId="0" fontId="3" fillId="4" borderId="12" xfId="0" applyFont="1" applyFill="1" applyBorder="1"/>
    <xf numFmtId="0" fontId="3" fillId="2" borderId="13" xfId="0" applyFont="1" applyFill="1" applyBorder="1"/>
    <xf numFmtId="0" fontId="3" fillId="2" borderId="14" xfId="0" applyFont="1" applyFill="1" applyBorder="1"/>
    <xf numFmtId="164" fontId="3" fillId="4" borderId="15" xfId="0" applyNumberFormat="1" applyFont="1" applyFill="1" applyBorder="1" applyAlignment="1">
      <alignment horizontal="center"/>
    </xf>
    <xf numFmtId="0" fontId="1" fillId="2" borderId="12" xfId="0" applyFont="1" applyFill="1" applyBorder="1"/>
    <xf numFmtId="0" fontId="3" fillId="4" borderId="15" xfId="0" applyFont="1" applyFill="1" applyBorder="1" applyAlignment="1">
      <alignment horizontal="center"/>
    </xf>
    <xf numFmtId="0" fontId="1" fillId="4" borderId="12" xfId="0" applyFont="1" applyFill="1" applyBorder="1"/>
    <xf numFmtId="0" fontId="1" fillId="4" borderId="13" xfId="0" applyFont="1" applyFill="1" applyBorder="1"/>
    <xf numFmtId="0" fontId="1" fillId="2" borderId="13" xfId="0" applyFont="1" applyFill="1" applyBorder="1"/>
    <xf numFmtId="0" fontId="5" fillId="5" borderId="1" xfId="0" applyFont="1" applyFill="1" applyBorder="1"/>
    <xf numFmtId="0" fontId="5" fillId="2" borderId="1" xfId="0" applyFont="1" applyFill="1" applyBorder="1" applyAlignment="1">
      <alignment horizontal="center"/>
    </xf>
    <xf numFmtId="0" fontId="5" fillId="2" borderId="1" xfId="0" applyFont="1" applyFill="1" applyBorder="1"/>
    <xf numFmtId="0" fontId="6" fillId="2" borderId="1" xfId="0" applyFont="1" applyFill="1" applyBorder="1" applyAlignment="1">
      <alignment vertical="center"/>
    </xf>
    <xf numFmtId="0" fontId="5" fillId="2" borderId="1" xfId="0" applyFont="1" applyFill="1" applyBorder="1" applyAlignment="1">
      <alignment vertical="center"/>
    </xf>
    <xf numFmtId="0" fontId="1" fillId="2" borderId="1" xfId="0" applyFont="1" applyFill="1" applyBorder="1" applyAlignment="1">
      <alignment vertical="center"/>
    </xf>
    <xf numFmtId="0" fontId="7" fillId="2" borderId="1" xfId="0" applyFont="1" applyFill="1" applyBorder="1" applyAlignment="1">
      <alignment vertical="center"/>
    </xf>
    <xf numFmtId="0" fontId="8" fillId="2" borderId="1" xfId="0" applyFont="1" applyFill="1" applyBorder="1"/>
    <xf numFmtId="0" fontId="1" fillId="0" borderId="0" xfId="0" applyFont="1" applyAlignment="1">
      <alignment wrapText="1"/>
    </xf>
    <xf numFmtId="0" fontId="1" fillId="2" borderId="1" xfId="0" applyFont="1" applyFill="1" applyBorder="1" applyAlignment="1">
      <alignment vertical="top" wrapText="1"/>
    </xf>
    <xf numFmtId="0" fontId="1" fillId="2" borderId="1" xfId="0" applyFont="1" applyFill="1" applyBorder="1" applyAlignment="1">
      <alignment wrapText="1"/>
    </xf>
    <xf numFmtId="0" fontId="1" fillId="2" borderId="1" xfId="0" applyFont="1" applyFill="1" applyBorder="1" applyAlignment="1">
      <alignment horizontal="left" vertical="top" wrapText="1"/>
    </xf>
    <xf numFmtId="0" fontId="1" fillId="2" borderId="1" xfId="0" applyFont="1" applyFill="1" applyBorder="1" applyAlignment="1">
      <alignment vertical="top"/>
    </xf>
    <xf numFmtId="0" fontId="1" fillId="2" borderId="1" xfId="0" applyFont="1" applyFill="1" applyBorder="1" applyAlignment="1">
      <alignment horizontal="left" vertical="center"/>
    </xf>
    <xf numFmtId="0" fontId="7" fillId="2" borderId="1" xfId="0" applyFont="1" applyFill="1" applyBorder="1"/>
    <xf numFmtId="0" fontId="3" fillId="2" borderId="1" xfId="0" applyFont="1" applyFill="1" applyBorder="1" applyAlignment="1">
      <alignment vertical="top" wrapText="1"/>
    </xf>
    <xf numFmtId="0" fontId="1" fillId="2" borderId="1" xfId="0" applyFont="1" applyFill="1" applyBorder="1" applyAlignment="1">
      <alignment horizontal="left" vertical="top"/>
    </xf>
    <xf numFmtId="0" fontId="1" fillId="2" borderId="1" xfId="0" applyFont="1" applyFill="1" applyBorder="1" applyAlignment="1">
      <alignment horizontal="left" wrapText="1"/>
    </xf>
    <xf numFmtId="0" fontId="9" fillId="2" borderId="1" xfId="0" applyFont="1" applyFill="1" applyBorder="1"/>
    <xf numFmtId="164" fontId="3" fillId="2" borderId="5" xfId="0" applyNumberFormat="1" applyFont="1" applyFill="1" applyBorder="1" applyAlignment="1">
      <alignment horizontal="center"/>
    </xf>
    <xf numFmtId="0" fontId="3" fillId="2" borderId="5" xfId="0" applyFont="1" applyFill="1" applyBorder="1" applyAlignment="1">
      <alignment horizontal="center"/>
    </xf>
    <xf numFmtId="0" fontId="3" fillId="4" borderId="19" xfId="0" applyFont="1" applyFill="1" applyBorder="1"/>
    <xf numFmtId="0" fontId="10" fillId="2" borderId="1" xfId="0" applyFont="1" applyFill="1" applyBorder="1"/>
    <xf numFmtId="0" fontId="9" fillId="3" borderId="1" xfId="0" applyFont="1" applyFill="1" applyBorder="1"/>
    <xf numFmtId="0" fontId="3" fillId="3" borderId="1" xfId="0" applyFont="1" applyFill="1" applyBorder="1"/>
    <xf numFmtId="0" fontId="3" fillId="2" borderId="11" xfId="0" applyFont="1" applyFill="1" applyBorder="1"/>
    <xf numFmtId="0" fontId="3" fillId="4" borderId="20" xfId="0" applyFont="1" applyFill="1" applyBorder="1"/>
    <xf numFmtId="0" fontId="3" fillId="2" borderId="11" xfId="0" applyFont="1" applyFill="1" applyBorder="1" applyAlignment="1">
      <alignment horizontal="center"/>
    </xf>
    <xf numFmtId="0" fontId="3" fillId="2" borderId="1" xfId="0" applyFont="1" applyFill="1" applyBorder="1" applyAlignment="1">
      <alignment horizontal="center"/>
    </xf>
    <xf numFmtId="0" fontId="9" fillId="4" borderId="1" xfId="0" applyFont="1" applyFill="1" applyBorder="1"/>
    <xf numFmtId="0" fontId="3" fillId="4" borderId="1" xfId="0" applyFont="1" applyFill="1" applyBorder="1"/>
    <xf numFmtId="0" fontId="3" fillId="2" borderId="1" xfId="0" applyFont="1" applyFill="1" applyBorder="1" applyAlignment="1">
      <alignment vertical="top"/>
    </xf>
    <xf numFmtId="0" fontId="3" fillId="2" borderId="1" xfId="0" applyFont="1" applyFill="1" applyBorder="1" applyAlignment="1">
      <alignment horizontal="left" vertical="center"/>
    </xf>
    <xf numFmtId="0" fontId="3" fillId="4" borderId="3" xfId="0" applyFont="1" applyFill="1" applyBorder="1" applyAlignment="1">
      <alignment horizontal="center"/>
    </xf>
    <xf numFmtId="0" fontId="9" fillId="5" borderId="1" xfId="0" applyFont="1" applyFill="1" applyBorder="1"/>
    <xf numFmtId="165" fontId="3" fillId="2" borderId="15" xfId="0" applyNumberFormat="1" applyFont="1" applyFill="1" applyBorder="1" applyAlignment="1">
      <alignment horizontal="center" vertical="center"/>
    </xf>
    <xf numFmtId="165" fontId="3" fillId="4" borderId="15" xfId="0" applyNumberFormat="1" applyFont="1" applyFill="1" applyBorder="1" applyAlignment="1">
      <alignment horizontal="center" vertical="center"/>
    </xf>
    <xf numFmtId="0" fontId="3" fillId="2" borderId="15" xfId="0" applyFont="1" applyFill="1" applyBorder="1" applyAlignment="1">
      <alignment horizontal="center"/>
    </xf>
    <xf numFmtId="0" fontId="10" fillId="2" borderId="1" xfId="0" applyFont="1" applyFill="1" applyBorder="1" applyAlignment="1">
      <alignment horizontal="center"/>
    </xf>
    <xf numFmtId="0" fontId="11" fillId="2" borderId="1" xfId="0" applyFont="1" applyFill="1" applyBorder="1"/>
    <xf numFmtId="0" fontId="1" fillId="0" borderId="0" xfId="0" applyFont="1" applyAlignment="1">
      <alignment horizontal="left" vertical="center"/>
    </xf>
    <xf numFmtId="0" fontId="12" fillId="2" borderId="1" xfId="0" applyFont="1" applyFill="1" applyBorder="1" applyAlignment="1">
      <alignment horizontal="left" vertical="center"/>
    </xf>
    <xf numFmtId="0" fontId="3" fillId="2" borderId="26" xfId="0" applyFont="1" applyFill="1" applyBorder="1" applyAlignment="1">
      <alignment horizontal="center"/>
    </xf>
    <xf numFmtId="0" fontId="3" fillId="4" borderId="26" xfId="0" applyFont="1" applyFill="1" applyBorder="1" applyAlignment="1">
      <alignment horizontal="center"/>
    </xf>
    <xf numFmtId="0" fontId="3" fillId="2" borderId="27" xfId="0" applyFont="1" applyFill="1" applyBorder="1" applyAlignment="1">
      <alignment horizontal="center"/>
    </xf>
    <xf numFmtId="0" fontId="3" fillId="2" borderId="28" xfId="0" applyFont="1" applyFill="1" applyBorder="1" applyAlignment="1">
      <alignment horizontal="center"/>
    </xf>
    <xf numFmtId="0" fontId="3" fillId="4" borderId="28" xfId="0" applyFont="1" applyFill="1" applyBorder="1" applyAlignment="1">
      <alignment horizontal="center"/>
    </xf>
    <xf numFmtId="0" fontId="1" fillId="2" borderId="2" xfId="0" applyFont="1" applyFill="1" applyBorder="1" applyAlignment="1">
      <alignment horizontal="center" vertical="center"/>
    </xf>
    <xf numFmtId="0" fontId="4" fillId="0" borderId="6" xfId="0" applyFont="1" applyBorder="1"/>
    <xf numFmtId="0" fontId="4" fillId="0" borderId="9" xfId="0" applyFont="1" applyBorder="1"/>
    <xf numFmtId="0" fontId="5" fillId="5" borderId="16" xfId="0" applyFont="1" applyFill="1" applyBorder="1" applyAlignment="1">
      <alignment horizontal="center"/>
    </xf>
    <xf numFmtId="0" fontId="4" fillId="0" borderId="17" xfId="0" applyFont="1" applyBorder="1"/>
    <xf numFmtId="0" fontId="4" fillId="0" borderId="18" xfId="0" applyFont="1" applyBorder="1"/>
    <xf numFmtId="0" fontId="1" fillId="2" borderId="16" xfId="0" applyFont="1" applyFill="1" applyBorder="1" applyAlignment="1">
      <alignment horizontal="left" vertical="top" wrapText="1"/>
    </xf>
    <xf numFmtId="0" fontId="1" fillId="3" borderId="16" xfId="0" applyFont="1" applyFill="1" applyBorder="1" applyAlignment="1">
      <alignment horizontal="center"/>
    </xf>
    <xf numFmtId="0" fontId="1" fillId="3" borderId="16" xfId="0" applyFont="1" applyFill="1" applyBorder="1" applyAlignment="1">
      <alignment horizontal="center" vertical="center"/>
    </xf>
    <xf numFmtId="0" fontId="3" fillId="4" borderId="16" xfId="0" applyFont="1" applyFill="1" applyBorder="1" applyAlignment="1">
      <alignment horizontal="left" vertical="center" wrapText="1"/>
    </xf>
    <xf numFmtId="0" fontId="3" fillId="2" borderId="16" xfId="0" applyFont="1" applyFill="1" applyBorder="1" applyAlignment="1">
      <alignment horizontal="center"/>
    </xf>
    <xf numFmtId="0" fontId="3" fillId="4" borderId="16" xfId="0" applyFont="1" applyFill="1" applyBorder="1" applyAlignment="1">
      <alignment horizontal="center" vertical="center" wrapText="1"/>
    </xf>
    <xf numFmtId="0" fontId="9" fillId="5" borderId="16" xfId="0" applyFont="1" applyFill="1" applyBorder="1" applyAlignment="1">
      <alignment horizontal="center"/>
    </xf>
    <xf numFmtId="0" fontId="3" fillId="2" borderId="21" xfId="0" applyFont="1" applyFill="1" applyBorder="1" applyAlignment="1">
      <alignment horizontal="center"/>
    </xf>
    <xf numFmtId="0" fontId="4" fillId="0" borderId="22" xfId="0" applyFont="1" applyBorder="1"/>
    <xf numFmtId="0" fontId="3" fillId="4" borderId="23" xfId="0" applyFont="1" applyFill="1" applyBorder="1" applyAlignment="1">
      <alignment horizontal="left" vertical="center" wrapText="1"/>
    </xf>
    <xf numFmtId="0" fontId="4" fillId="0" borderId="24" xfId="0" applyFont="1" applyBorder="1"/>
    <xf numFmtId="0" fontId="3" fillId="4" borderId="23" xfId="0" applyFont="1" applyFill="1" applyBorder="1" applyAlignment="1">
      <alignment horizontal="center" vertical="center" wrapText="1"/>
    </xf>
    <xf numFmtId="0" fontId="4" fillId="0" borderId="25" xfId="0" applyFont="1" applyBorder="1"/>
    <xf numFmtId="0" fontId="5" fillId="2" borderId="16"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3</xdr:col>
      <xdr:colOff>485775</xdr:colOff>
      <xdr:row>7</xdr:row>
      <xdr:rowOff>161925</xdr:rowOff>
    </xdr:from>
    <xdr:ext cx="819150" cy="1123950"/>
    <xdr:sp macro="" textlink="">
      <xdr:nvSpPr>
        <xdr:cNvPr id="3" name="Shape 3">
          <a:extLst>
            <a:ext uri="{FF2B5EF4-FFF2-40B4-BE49-F238E27FC236}">
              <a16:creationId xmlns:a16="http://schemas.microsoft.com/office/drawing/2014/main" id="{00000000-0008-0000-0000-000003000000}"/>
            </a:ext>
          </a:extLst>
        </xdr:cNvPr>
        <xdr:cNvSpPr/>
      </xdr:nvSpPr>
      <xdr:spPr>
        <a:xfrm>
          <a:off x="4945950" y="3227550"/>
          <a:ext cx="800100" cy="110490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People</a:t>
          </a:r>
          <a:endParaRPr sz="1400"/>
        </a:p>
      </xdr:txBody>
    </xdr:sp>
    <xdr:clientData fLocksWithSheet="0"/>
  </xdr:oneCellAnchor>
  <xdr:oneCellAnchor>
    <xdr:from>
      <xdr:col>3</xdr:col>
      <xdr:colOff>485775</xdr:colOff>
      <xdr:row>14</xdr:row>
      <xdr:rowOff>133350</xdr:rowOff>
    </xdr:from>
    <xdr:ext cx="809625" cy="1228725"/>
    <xdr:sp macro="" textlink="">
      <xdr:nvSpPr>
        <xdr:cNvPr id="4" name="Shape 4">
          <a:extLst>
            <a:ext uri="{FF2B5EF4-FFF2-40B4-BE49-F238E27FC236}">
              <a16:creationId xmlns:a16="http://schemas.microsoft.com/office/drawing/2014/main" id="{00000000-0008-0000-0000-000004000000}"/>
            </a:ext>
          </a:extLst>
        </xdr:cNvPr>
        <xdr:cNvSpPr/>
      </xdr:nvSpPr>
      <xdr:spPr>
        <a:xfrm>
          <a:off x="4950713" y="3175163"/>
          <a:ext cx="790575" cy="1209675"/>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Operations</a:t>
          </a:r>
          <a:endParaRPr sz="1400"/>
        </a:p>
      </xdr:txBody>
    </xdr:sp>
    <xdr:clientData fLocksWithSheet="0"/>
  </xdr:oneCellAnchor>
  <xdr:oneCellAnchor>
    <xdr:from>
      <xdr:col>3</xdr:col>
      <xdr:colOff>485775</xdr:colOff>
      <xdr:row>21</xdr:row>
      <xdr:rowOff>161925</xdr:rowOff>
    </xdr:from>
    <xdr:ext cx="809625" cy="1133475"/>
    <xdr:sp macro="" textlink="">
      <xdr:nvSpPr>
        <xdr:cNvPr id="5" name="Shape 5">
          <a:extLst>
            <a:ext uri="{FF2B5EF4-FFF2-40B4-BE49-F238E27FC236}">
              <a16:creationId xmlns:a16="http://schemas.microsoft.com/office/drawing/2014/main" id="{00000000-0008-0000-0000-000005000000}"/>
            </a:ext>
          </a:extLst>
        </xdr:cNvPr>
        <xdr:cNvSpPr/>
      </xdr:nvSpPr>
      <xdr:spPr>
        <a:xfrm>
          <a:off x="4950713" y="3222788"/>
          <a:ext cx="790575" cy="1114425"/>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Finance</a:t>
          </a:r>
          <a:endParaRPr sz="1400"/>
        </a:p>
      </xdr:txBody>
    </xdr:sp>
    <xdr:clientData fLocksWithSheet="0"/>
  </xdr:oneCellAnchor>
  <xdr:oneCellAnchor>
    <xdr:from>
      <xdr:col>3</xdr:col>
      <xdr:colOff>485775</xdr:colOff>
      <xdr:row>28</xdr:row>
      <xdr:rowOff>152400</xdr:rowOff>
    </xdr:from>
    <xdr:ext cx="809625" cy="752475"/>
    <xdr:sp macro="" textlink="">
      <xdr:nvSpPr>
        <xdr:cNvPr id="6" name="Shape 6">
          <a:extLst>
            <a:ext uri="{FF2B5EF4-FFF2-40B4-BE49-F238E27FC236}">
              <a16:creationId xmlns:a16="http://schemas.microsoft.com/office/drawing/2014/main" id="{00000000-0008-0000-0000-000006000000}"/>
            </a:ext>
          </a:extLst>
        </xdr:cNvPr>
        <xdr:cNvSpPr/>
      </xdr:nvSpPr>
      <xdr:spPr>
        <a:xfrm>
          <a:off x="4950713" y="3408525"/>
          <a:ext cx="790575" cy="74295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Analytics</a:t>
          </a:r>
          <a:endParaRPr sz="1400"/>
        </a:p>
      </xdr:txBody>
    </xdr:sp>
    <xdr:clientData fLocksWithSheet="0"/>
  </xdr:oneCellAnchor>
  <xdr:oneCellAnchor>
    <xdr:from>
      <xdr:col>3</xdr:col>
      <xdr:colOff>466725</xdr:colOff>
      <xdr:row>33</xdr:row>
      <xdr:rowOff>133350</xdr:rowOff>
    </xdr:from>
    <xdr:ext cx="809625" cy="971550"/>
    <xdr:sp macro="" textlink="">
      <xdr:nvSpPr>
        <xdr:cNvPr id="7" name="Shape 7">
          <a:extLst>
            <a:ext uri="{FF2B5EF4-FFF2-40B4-BE49-F238E27FC236}">
              <a16:creationId xmlns:a16="http://schemas.microsoft.com/office/drawing/2014/main" id="{00000000-0008-0000-0000-000007000000}"/>
            </a:ext>
          </a:extLst>
        </xdr:cNvPr>
        <xdr:cNvSpPr/>
      </xdr:nvSpPr>
      <xdr:spPr>
        <a:xfrm>
          <a:off x="4950713" y="3298988"/>
          <a:ext cx="790575" cy="962025"/>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Risk</a:t>
          </a:r>
          <a:endParaRPr sz="1400"/>
        </a:p>
      </xdr:txBody>
    </xdr:sp>
    <xdr:clientData fLocksWithSheet="0"/>
  </xdr:oneCellAnchor>
  <xdr:oneCellAnchor>
    <xdr:from>
      <xdr:col>3</xdr:col>
      <xdr:colOff>485775</xdr:colOff>
      <xdr:row>39</xdr:row>
      <xdr:rowOff>133350</xdr:rowOff>
    </xdr:from>
    <xdr:ext cx="809625" cy="971550"/>
    <xdr:sp macro="" textlink="">
      <xdr:nvSpPr>
        <xdr:cNvPr id="8" name="Shape 8">
          <a:extLst>
            <a:ext uri="{FF2B5EF4-FFF2-40B4-BE49-F238E27FC236}">
              <a16:creationId xmlns:a16="http://schemas.microsoft.com/office/drawing/2014/main" id="{00000000-0008-0000-0000-000008000000}"/>
            </a:ext>
          </a:extLst>
        </xdr:cNvPr>
        <xdr:cNvSpPr/>
      </xdr:nvSpPr>
      <xdr:spPr>
        <a:xfrm>
          <a:off x="4950713" y="3298988"/>
          <a:ext cx="790575" cy="962025"/>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Impact</a:t>
          </a:r>
          <a:endParaRPr sz="1400"/>
        </a:p>
      </xdr:txBody>
    </xdr:sp>
    <xdr:clientData fLocksWithSheet="0"/>
  </xdr:oneCellAnchor>
  <xdr:oneCellAnchor>
    <xdr:from>
      <xdr:col>3</xdr:col>
      <xdr:colOff>485775</xdr:colOff>
      <xdr:row>1</xdr:row>
      <xdr:rowOff>142875</xdr:rowOff>
    </xdr:from>
    <xdr:ext cx="809625" cy="971550"/>
    <xdr:sp macro="" textlink="">
      <xdr:nvSpPr>
        <xdr:cNvPr id="9" name="Shape 9">
          <a:extLst>
            <a:ext uri="{FF2B5EF4-FFF2-40B4-BE49-F238E27FC236}">
              <a16:creationId xmlns:a16="http://schemas.microsoft.com/office/drawing/2014/main" id="{00000000-0008-0000-0000-000009000000}"/>
            </a:ext>
          </a:extLst>
        </xdr:cNvPr>
        <xdr:cNvSpPr/>
      </xdr:nvSpPr>
      <xdr:spPr>
        <a:xfrm>
          <a:off x="4950713" y="3298988"/>
          <a:ext cx="790575" cy="962025"/>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Customer</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190500</xdr:colOff>
      <xdr:row>5</xdr:row>
      <xdr:rowOff>95250</xdr:rowOff>
    </xdr:from>
    <xdr:ext cx="7943850" cy="3800475"/>
    <xdr:pic>
      <xdr:nvPicPr>
        <xdr:cNvPr id="2" name="image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5</xdr:col>
      <xdr:colOff>762000</xdr:colOff>
      <xdr:row>3</xdr:row>
      <xdr:rowOff>47625</xdr:rowOff>
    </xdr:from>
    <xdr:ext cx="1466850" cy="381000"/>
    <xdr:grpSp>
      <xdr:nvGrpSpPr>
        <xdr:cNvPr id="2" name="Shape 2">
          <a:extLst>
            <a:ext uri="{FF2B5EF4-FFF2-40B4-BE49-F238E27FC236}">
              <a16:creationId xmlns:a16="http://schemas.microsoft.com/office/drawing/2014/main" id="{00000000-0008-0000-0300-000002000000}"/>
            </a:ext>
          </a:extLst>
        </xdr:cNvPr>
        <xdr:cNvGrpSpPr/>
      </xdr:nvGrpSpPr>
      <xdr:grpSpPr>
        <a:xfrm>
          <a:off x="9296400" y="561975"/>
          <a:ext cx="1466850" cy="381000"/>
          <a:chOff x="4612575" y="3589500"/>
          <a:chExt cx="1466850" cy="381000"/>
        </a:xfrm>
      </xdr:grpSpPr>
      <xdr:grpSp>
        <xdr:nvGrpSpPr>
          <xdr:cNvPr id="10" name="Shape 10">
            <a:extLst>
              <a:ext uri="{FF2B5EF4-FFF2-40B4-BE49-F238E27FC236}">
                <a16:creationId xmlns:a16="http://schemas.microsoft.com/office/drawing/2014/main" id="{00000000-0008-0000-0300-00000A000000}"/>
              </a:ext>
            </a:extLst>
          </xdr:cNvPr>
          <xdr:cNvGrpSpPr/>
        </xdr:nvGrpSpPr>
        <xdr:grpSpPr>
          <a:xfrm>
            <a:off x="4612575" y="3589500"/>
            <a:ext cx="1466850" cy="381000"/>
            <a:chOff x="9347835" y="633413"/>
            <a:chExt cx="1527810" cy="395287"/>
          </a:xfrm>
        </xdr:grpSpPr>
        <xdr:sp macro="" textlink="">
          <xdr:nvSpPr>
            <xdr:cNvPr id="11" name="Shape 11">
              <a:extLst>
                <a:ext uri="{FF2B5EF4-FFF2-40B4-BE49-F238E27FC236}">
                  <a16:creationId xmlns:a16="http://schemas.microsoft.com/office/drawing/2014/main" id="{00000000-0008-0000-03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2" name="Shape 12">
              <a:extLst>
                <a:ext uri="{FF2B5EF4-FFF2-40B4-BE49-F238E27FC236}">
                  <a16:creationId xmlns:a16="http://schemas.microsoft.com/office/drawing/2014/main" id="{00000000-0008-0000-0300-00000C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13" name="Shape 13">
              <a:extLst>
                <a:ext uri="{FF2B5EF4-FFF2-40B4-BE49-F238E27FC236}">
                  <a16:creationId xmlns:a16="http://schemas.microsoft.com/office/drawing/2014/main" id="{00000000-0008-0000-0300-00000D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14" name="Shape 14">
              <a:extLst>
                <a:ext uri="{FF2B5EF4-FFF2-40B4-BE49-F238E27FC236}">
                  <a16:creationId xmlns:a16="http://schemas.microsoft.com/office/drawing/2014/main" id="{00000000-0008-0000-0300-00000E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15" name="Shape 15">
              <a:extLst>
                <a:ext uri="{FF2B5EF4-FFF2-40B4-BE49-F238E27FC236}">
                  <a16:creationId xmlns:a16="http://schemas.microsoft.com/office/drawing/2014/main" id="{00000000-0008-0000-0300-00000F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16" name="Shape 16">
              <a:extLst>
                <a:ext uri="{FF2B5EF4-FFF2-40B4-BE49-F238E27FC236}">
                  <a16:creationId xmlns:a16="http://schemas.microsoft.com/office/drawing/2014/main" id="{00000000-0008-0000-0300-000010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17" name="Shape 17">
              <a:extLst>
                <a:ext uri="{FF2B5EF4-FFF2-40B4-BE49-F238E27FC236}">
                  <a16:creationId xmlns:a16="http://schemas.microsoft.com/office/drawing/2014/main" id="{00000000-0008-0000-0300-000011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18" name="Shape 18">
              <a:extLst>
                <a:ext uri="{FF2B5EF4-FFF2-40B4-BE49-F238E27FC236}">
                  <a16:creationId xmlns:a16="http://schemas.microsoft.com/office/drawing/2014/main" id="{00000000-0008-0000-0300-000012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19" name="Shape 19">
              <a:extLst>
                <a:ext uri="{FF2B5EF4-FFF2-40B4-BE49-F238E27FC236}">
                  <a16:creationId xmlns:a16="http://schemas.microsoft.com/office/drawing/2014/main" id="{00000000-0008-0000-0300-000013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5</xdr:col>
      <xdr:colOff>742950</xdr:colOff>
      <xdr:row>3</xdr:row>
      <xdr:rowOff>114300</xdr:rowOff>
    </xdr:from>
    <xdr:ext cx="1485900" cy="381000"/>
    <xdr:grpSp>
      <xdr:nvGrpSpPr>
        <xdr:cNvPr id="2" name="Shape 2">
          <a:extLst>
            <a:ext uri="{FF2B5EF4-FFF2-40B4-BE49-F238E27FC236}">
              <a16:creationId xmlns:a16="http://schemas.microsoft.com/office/drawing/2014/main" id="{00000000-0008-0000-0400-000002000000}"/>
            </a:ext>
          </a:extLst>
        </xdr:cNvPr>
        <xdr:cNvGrpSpPr/>
      </xdr:nvGrpSpPr>
      <xdr:grpSpPr>
        <a:xfrm>
          <a:off x="9277350" y="628650"/>
          <a:ext cx="1485900" cy="381000"/>
          <a:chOff x="4603050" y="3589500"/>
          <a:chExt cx="1485900" cy="381000"/>
        </a:xfrm>
      </xdr:grpSpPr>
      <xdr:grpSp>
        <xdr:nvGrpSpPr>
          <xdr:cNvPr id="20" name="Shape 20">
            <a:extLst>
              <a:ext uri="{FF2B5EF4-FFF2-40B4-BE49-F238E27FC236}">
                <a16:creationId xmlns:a16="http://schemas.microsoft.com/office/drawing/2014/main" id="{00000000-0008-0000-0400-000014000000}"/>
              </a:ext>
            </a:extLst>
          </xdr:cNvPr>
          <xdr:cNvGrpSpPr/>
        </xdr:nvGrpSpPr>
        <xdr:grpSpPr>
          <a:xfrm>
            <a:off x="4603050" y="3589500"/>
            <a:ext cx="1485900" cy="381000"/>
            <a:chOff x="9347835" y="633413"/>
            <a:chExt cx="1527810" cy="395287"/>
          </a:xfrm>
        </xdr:grpSpPr>
        <xdr:sp macro="" textlink="">
          <xdr:nvSpPr>
            <xdr:cNvPr id="11" name="Shape 11">
              <a:extLst>
                <a:ext uri="{FF2B5EF4-FFF2-40B4-BE49-F238E27FC236}">
                  <a16:creationId xmlns:a16="http://schemas.microsoft.com/office/drawing/2014/main" id="{00000000-0008-0000-04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21" name="Shape 21">
              <a:extLst>
                <a:ext uri="{FF2B5EF4-FFF2-40B4-BE49-F238E27FC236}">
                  <a16:creationId xmlns:a16="http://schemas.microsoft.com/office/drawing/2014/main" id="{00000000-0008-0000-0400-000015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22" name="Shape 22">
              <a:extLst>
                <a:ext uri="{FF2B5EF4-FFF2-40B4-BE49-F238E27FC236}">
                  <a16:creationId xmlns:a16="http://schemas.microsoft.com/office/drawing/2014/main" id="{00000000-0008-0000-0400-000016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23" name="Shape 23">
              <a:extLst>
                <a:ext uri="{FF2B5EF4-FFF2-40B4-BE49-F238E27FC236}">
                  <a16:creationId xmlns:a16="http://schemas.microsoft.com/office/drawing/2014/main" id="{00000000-0008-0000-0400-000017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24" name="Shape 24">
              <a:extLst>
                <a:ext uri="{FF2B5EF4-FFF2-40B4-BE49-F238E27FC236}">
                  <a16:creationId xmlns:a16="http://schemas.microsoft.com/office/drawing/2014/main" id="{00000000-0008-0000-0400-000018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25" name="Shape 25">
              <a:extLst>
                <a:ext uri="{FF2B5EF4-FFF2-40B4-BE49-F238E27FC236}">
                  <a16:creationId xmlns:a16="http://schemas.microsoft.com/office/drawing/2014/main" id="{00000000-0008-0000-0400-000019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26" name="Shape 26">
              <a:extLst>
                <a:ext uri="{FF2B5EF4-FFF2-40B4-BE49-F238E27FC236}">
                  <a16:creationId xmlns:a16="http://schemas.microsoft.com/office/drawing/2014/main" id="{00000000-0008-0000-0400-00001A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27" name="Shape 27">
              <a:extLst>
                <a:ext uri="{FF2B5EF4-FFF2-40B4-BE49-F238E27FC236}">
                  <a16:creationId xmlns:a16="http://schemas.microsoft.com/office/drawing/2014/main" id="{00000000-0008-0000-0400-00001B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28" name="Shape 28">
              <a:extLst>
                <a:ext uri="{FF2B5EF4-FFF2-40B4-BE49-F238E27FC236}">
                  <a16:creationId xmlns:a16="http://schemas.microsoft.com/office/drawing/2014/main" id="{00000000-0008-0000-0400-00001C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5</xdr:col>
      <xdr:colOff>638175</xdr:colOff>
      <xdr:row>3</xdr:row>
      <xdr:rowOff>95250</xdr:rowOff>
    </xdr:from>
    <xdr:ext cx="1485900" cy="381000"/>
    <xdr:grpSp>
      <xdr:nvGrpSpPr>
        <xdr:cNvPr id="2" name="Shape 2">
          <a:extLst>
            <a:ext uri="{FF2B5EF4-FFF2-40B4-BE49-F238E27FC236}">
              <a16:creationId xmlns:a16="http://schemas.microsoft.com/office/drawing/2014/main" id="{00000000-0008-0000-0500-000002000000}"/>
            </a:ext>
          </a:extLst>
        </xdr:cNvPr>
        <xdr:cNvGrpSpPr/>
      </xdr:nvGrpSpPr>
      <xdr:grpSpPr>
        <a:xfrm>
          <a:off x="9172575" y="609600"/>
          <a:ext cx="1485900" cy="381000"/>
          <a:chOff x="4603050" y="3589500"/>
          <a:chExt cx="1485900" cy="381000"/>
        </a:xfrm>
      </xdr:grpSpPr>
      <xdr:grpSp>
        <xdr:nvGrpSpPr>
          <xdr:cNvPr id="29" name="Shape 29">
            <a:extLst>
              <a:ext uri="{FF2B5EF4-FFF2-40B4-BE49-F238E27FC236}">
                <a16:creationId xmlns:a16="http://schemas.microsoft.com/office/drawing/2014/main" id="{00000000-0008-0000-0500-00001D000000}"/>
              </a:ext>
            </a:extLst>
          </xdr:cNvPr>
          <xdr:cNvGrpSpPr/>
        </xdr:nvGrpSpPr>
        <xdr:grpSpPr>
          <a:xfrm>
            <a:off x="4603050" y="3589500"/>
            <a:ext cx="1485900" cy="381000"/>
            <a:chOff x="9347835" y="633413"/>
            <a:chExt cx="1527810" cy="395287"/>
          </a:xfrm>
        </xdr:grpSpPr>
        <xdr:sp macro="" textlink="">
          <xdr:nvSpPr>
            <xdr:cNvPr id="11" name="Shape 11">
              <a:extLst>
                <a:ext uri="{FF2B5EF4-FFF2-40B4-BE49-F238E27FC236}">
                  <a16:creationId xmlns:a16="http://schemas.microsoft.com/office/drawing/2014/main" id="{00000000-0008-0000-05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30" name="Shape 30">
              <a:extLst>
                <a:ext uri="{FF2B5EF4-FFF2-40B4-BE49-F238E27FC236}">
                  <a16:creationId xmlns:a16="http://schemas.microsoft.com/office/drawing/2014/main" id="{00000000-0008-0000-0500-00001E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31" name="Shape 31">
              <a:extLst>
                <a:ext uri="{FF2B5EF4-FFF2-40B4-BE49-F238E27FC236}">
                  <a16:creationId xmlns:a16="http://schemas.microsoft.com/office/drawing/2014/main" id="{00000000-0008-0000-0500-00001F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32" name="Shape 32">
              <a:extLst>
                <a:ext uri="{FF2B5EF4-FFF2-40B4-BE49-F238E27FC236}">
                  <a16:creationId xmlns:a16="http://schemas.microsoft.com/office/drawing/2014/main" id="{00000000-0008-0000-0500-000020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33" name="Shape 33">
              <a:extLst>
                <a:ext uri="{FF2B5EF4-FFF2-40B4-BE49-F238E27FC236}">
                  <a16:creationId xmlns:a16="http://schemas.microsoft.com/office/drawing/2014/main" id="{00000000-0008-0000-0500-000021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34" name="Shape 34">
              <a:extLst>
                <a:ext uri="{FF2B5EF4-FFF2-40B4-BE49-F238E27FC236}">
                  <a16:creationId xmlns:a16="http://schemas.microsoft.com/office/drawing/2014/main" id="{00000000-0008-0000-0500-000022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35" name="Shape 35">
              <a:extLst>
                <a:ext uri="{FF2B5EF4-FFF2-40B4-BE49-F238E27FC236}">
                  <a16:creationId xmlns:a16="http://schemas.microsoft.com/office/drawing/2014/main" id="{00000000-0008-0000-0500-000023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36" name="Shape 36">
              <a:extLst>
                <a:ext uri="{FF2B5EF4-FFF2-40B4-BE49-F238E27FC236}">
                  <a16:creationId xmlns:a16="http://schemas.microsoft.com/office/drawing/2014/main" id="{00000000-0008-0000-0500-000024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37" name="Shape 37">
              <a:extLst>
                <a:ext uri="{FF2B5EF4-FFF2-40B4-BE49-F238E27FC236}">
                  <a16:creationId xmlns:a16="http://schemas.microsoft.com/office/drawing/2014/main" id="{00000000-0008-0000-0500-000025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5</xdr:col>
      <xdr:colOff>733425</xdr:colOff>
      <xdr:row>3</xdr:row>
      <xdr:rowOff>76200</xdr:rowOff>
    </xdr:from>
    <xdr:ext cx="1485900" cy="381000"/>
    <xdr:grpSp>
      <xdr:nvGrpSpPr>
        <xdr:cNvPr id="2" name="Shape 2">
          <a:extLst>
            <a:ext uri="{FF2B5EF4-FFF2-40B4-BE49-F238E27FC236}">
              <a16:creationId xmlns:a16="http://schemas.microsoft.com/office/drawing/2014/main" id="{00000000-0008-0000-0600-000002000000}"/>
            </a:ext>
          </a:extLst>
        </xdr:cNvPr>
        <xdr:cNvGrpSpPr/>
      </xdr:nvGrpSpPr>
      <xdr:grpSpPr>
        <a:xfrm>
          <a:off x="9267825" y="590550"/>
          <a:ext cx="1485900" cy="381000"/>
          <a:chOff x="4603050" y="3589500"/>
          <a:chExt cx="1485900" cy="381000"/>
        </a:xfrm>
      </xdr:grpSpPr>
      <xdr:grpSp>
        <xdr:nvGrpSpPr>
          <xdr:cNvPr id="38" name="Shape 38">
            <a:extLst>
              <a:ext uri="{FF2B5EF4-FFF2-40B4-BE49-F238E27FC236}">
                <a16:creationId xmlns:a16="http://schemas.microsoft.com/office/drawing/2014/main" id="{00000000-0008-0000-0600-000026000000}"/>
              </a:ext>
            </a:extLst>
          </xdr:cNvPr>
          <xdr:cNvGrpSpPr/>
        </xdr:nvGrpSpPr>
        <xdr:grpSpPr>
          <a:xfrm>
            <a:off x="4603050" y="3589500"/>
            <a:ext cx="1485900" cy="381000"/>
            <a:chOff x="9347835" y="633413"/>
            <a:chExt cx="1527810" cy="395287"/>
          </a:xfrm>
        </xdr:grpSpPr>
        <xdr:sp macro="" textlink="">
          <xdr:nvSpPr>
            <xdr:cNvPr id="11" name="Shape 11">
              <a:extLst>
                <a:ext uri="{FF2B5EF4-FFF2-40B4-BE49-F238E27FC236}">
                  <a16:creationId xmlns:a16="http://schemas.microsoft.com/office/drawing/2014/main" id="{00000000-0008-0000-06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39" name="Shape 39">
              <a:extLst>
                <a:ext uri="{FF2B5EF4-FFF2-40B4-BE49-F238E27FC236}">
                  <a16:creationId xmlns:a16="http://schemas.microsoft.com/office/drawing/2014/main" id="{00000000-0008-0000-0600-000027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40" name="Shape 40">
              <a:extLst>
                <a:ext uri="{FF2B5EF4-FFF2-40B4-BE49-F238E27FC236}">
                  <a16:creationId xmlns:a16="http://schemas.microsoft.com/office/drawing/2014/main" id="{00000000-0008-0000-0600-000028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41" name="Shape 41">
              <a:extLst>
                <a:ext uri="{FF2B5EF4-FFF2-40B4-BE49-F238E27FC236}">
                  <a16:creationId xmlns:a16="http://schemas.microsoft.com/office/drawing/2014/main" id="{00000000-0008-0000-0600-000029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42" name="Shape 42">
              <a:extLst>
                <a:ext uri="{FF2B5EF4-FFF2-40B4-BE49-F238E27FC236}">
                  <a16:creationId xmlns:a16="http://schemas.microsoft.com/office/drawing/2014/main" id="{00000000-0008-0000-0600-00002A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43" name="Shape 43">
              <a:extLst>
                <a:ext uri="{FF2B5EF4-FFF2-40B4-BE49-F238E27FC236}">
                  <a16:creationId xmlns:a16="http://schemas.microsoft.com/office/drawing/2014/main" id="{00000000-0008-0000-0600-00002B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44" name="Shape 44">
              <a:extLst>
                <a:ext uri="{FF2B5EF4-FFF2-40B4-BE49-F238E27FC236}">
                  <a16:creationId xmlns:a16="http://schemas.microsoft.com/office/drawing/2014/main" id="{00000000-0008-0000-0600-00002C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45" name="Shape 45">
              <a:extLst>
                <a:ext uri="{FF2B5EF4-FFF2-40B4-BE49-F238E27FC236}">
                  <a16:creationId xmlns:a16="http://schemas.microsoft.com/office/drawing/2014/main" id="{00000000-0008-0000-0600-00002D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46" name="Shape 46">
              <a:extLst>
                <a:ext uri="{FF2B5EF4-FFF2-40B4-BE49-F238E27FC236}">
                  <a16:creationId xmlns:a16="http://schemas.microsoft.com/office/drawing/2014/main" id="{00000000-0008-0000-0600-00002E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5</xdr:col>
      <xdr:colOff>638175</xdr:colOff>
      <xdr:row>2</xdr:row>
      <xdr:rowOff>114300</xdr:rowOff>
    </xdr:from>
    <xdr:ext cx="1485900" cy="381000"/>
    <xdr:grpSp>
      <xdr:nvGrpSpPr>
        <xdr:cNvPr id="2" name="Shape 2">
          <a:extLst>
            <a:ext uri="{FF2B5EF4-FFF2-40B4-BE49-F238E27FC236}">
              <a16:creationId xmlns:a16="http://schemas.microsoft.com/office/drawing/2014/main" id="{00000000-0008-0000-0700-000002000000}"/>
            </a:ext>
          </a:extLst>
        </xdr:cNvPr>
        <xdr:cNvGrpSpPr/>
      </xdr:nvGrpSpPr>
      <xdr:grpSpPr>
        <a:xfrm>
          <a:off x="9172575" y="457200"/>
          <a:ext cx="1485900" cy="381000"/>
          <a:chOff x="4603050" y="3589500"/>
          <a:chExt cx="1485900" cy="381000"/>
        </a:xfrm>
      </xdr:grpSpPr>
      <xdr:grpSp>
        <xdr:nvGrpSpPr>
          <xdr:cNvPr id="47" name="Shape 47">
            <a:extLst>
              <a:ext uri="{FF2B5EF4-FFF2-40B4-BE49-F238E27FC236}">
                <a16:creationId xmlns:a16="http://schemas.microsoft.com/office/drawing/2014/main" id="{00000000-0008-0000-0700-00002F000000}"/>
              </a:ext>
            </a:extLst>
          </xdr:cNvPr>
          <xdr:cNvGrpSpPr/>
        </xdr:nvGrpSpPr>
        <xdr:grpSpPr>
          <a:xfrm>
            <a:off x="4603050" y="3589500"/>
            <a:ext cx="1485900" cy="381000"/>
            <a:chOff x="9347835" y="633413"/>
            <a:chExt cx="1527810" cy="395287"/>
          </a:xfrm>
        </xdr:grpSpPr>
        <xdr:sp macro="" textlink="">
          <xdr:nvSpPr>
            <xdr:cNvPr id="11" name="Shape 11">
              <a:extLst>
                <a:ext uri="{FF2B5EF4-FFF2-40B4-BE49-F238E27FC236}">
                  <a16:creationId xmlns:a16="http://schemas.microsoft.com/office/drawing/2014/main" id="{00000000-0008-0000-07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48" name="Shape 48">
              <a:extLst>
                <a:ext uri="{FF2B5EF4-FFF2-40B4-BE49-F238E27FC236}">
                  <a16:creationId xmlns:a16="http://schemas.microsoft.com/office/drawing/2014/main" id="{00000000-0008-0000-0700-000030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49" name="Shape 49">
              <a:extLst>
                <a:ext uri="{FF2B5EF4-FFF2-40B4-BE49-F238E27FC236}">
                  <a16:creationId xmlns:a16="http://schemas.microsoft.com/office/drawing/2014/main" id="{00000000-0008-0000-0700-000031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50" name="Shape 50">
              <a:extLst>
                <a:ext uri="{FF2B5EF4-FFF2-40B4-BE49-F238E27FC236}">
                  <a16:creationId xmlns:a16="http://schemas.microsoft.com/office/drawing/2014/main" id="{00000000-0008-0000-0700-000032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51" name="Shape 51">
              <a:extLst>
                <a:ext uri="{FF2B5EF4-FFF2-40B4-BE49-F238E27FC236}">
                  <a16:creationId xmlns:a16="http://schemas.microsoft.com/office/drawing/2014/main" id="{00000000-0008-0000-0700-000033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52" name="Shape 52">
              <a:extLst>
                <a:ext uri="{FF2B5EF4-FFF2-40B4-BE49-F238E27FC236}">
                  <a16:creationId xmlns:a16="http://schemas.microsoft.com/office/drawing/2014/main" id="{00000000-0008-0000-0700-000034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53" name="Shape 53">
              <a:extLst>
                <a:ext uri="{FF2B5EF4-FFF2-40B4-BE49-F238E27FC236}">
                  <a16:creationId xmlns:a16="http://schemas.microsoft.com/office/drawing/2014/main" id="{00000000-0008-0000-0700-000035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54" name="Shape 54">
              <a:extLst>
                <a:ext uri="{FF2B5EF4-FFF2-40B4-BE49-F238E27FC236}">
                  <a16:creationId xmlns:a16="http://schemas.microsoft.com/office/drawing/2014/main" id="{00000000-0008-0000-0700-000036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55" name="Shape 55">
              <a:extLst>
                <a:ext uri="{FF2B5EF4-FFF2-40B4-BE49-F238E27FC236}">
                  <a16:creationId xmlns:a16="http://schemas.microsoft.com/office/drawing/2014/main" id="{00000000-0008-0000-0700-000037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8.xml><?xml version="1.0" encoding="utf-8"?>
<xdr:wsDr xmlns:xdr="http://schemas.openxmlformats.org/drawingml/2006/spreadsheetDrawing" xmlns:a="http://schemas.openxmlformats.org/drawingml/2006/main">
  <xdr:oneCellAnchor>
    <xdr:from>
      <xdr:col>5</xdr:col>
      <xdr:colOff>695325</xdr:colOff>
      <xdr:row>3</xdr:row>
      <xdr:rowOff>47625</xdr:rowOff>
    </xdr:from>
    <xdr:ext cx="1485900" cy="381000"/>
    <xdr:grpSp>
      <xdr:nvGrpSpPr>
        <xdr:cNvPr id="2" name="Shape 2">
          <a:extLst>
            <a:ext uri="{FF2B5EF4-FFF2-40B4-BE49-F238E27FC236}">
              <a16:creationId xmlns:a16="http://schemas.microsoft.com/office/drawing/2014/main" id="{00000000-0008-0000-0800-000002000000}"/>
            </a:ext>
          </a:extLst>
        </xdr:cNvPr>
        <xdr:cNvGrpSpPr/>
      </xdr:nvGrpSpPr>
      <xdr:grpSpPr>
        <a:xfrm>
          <a:off x="9229725" y="561975"/>
          <a:ext cx="1485900" cy="381000"/>
          <a:chOff x="4603050" y="3589500"/>
          <a:chExt cx="1485900" cy="381000"/>
        </a:xfrm>
      </xdr:grpSpPr>
      <xdr:grpSp>
        <xdr:nvGrpSpPr>
          <xdr:cNvPr id="56" name="Shape 56">
            <a:extLst>
              <a:ext uri="{FF2B5EF4-FFF2-40B4-BE49-F238E27FC236}">
                <a16:creationId xmlns:a16="http://schemas.microsoft.com/office/drawing/2014/main" id="{00000000-0008-0000-0800-000038000000}"/>
              </a:ext>
            </a:extLst>
          </xdr:cNvPr>
          <xdr:cNvGrpSpPr/>
        </xdr:nvGrpSpPr>
        <xdr:grpSpPr>
          <a:xfrm>
            <a:off x="4603050" y="3589500"/>
            <a:ext cx="1485900" cy="381000"/>
            <a:chOff x="9347835" y="633413"/>
            <a:chExt cx="1527810" cy="395287"/>
          </a:xfrm>
        </xdr:grpSpPr>
        <xdr:sp macro="" textlink="">
          <xdr:nvSpPr>
            <xdr:cNvPr id="11" name="Shape 11">
              <a:extLst>
                <a:ext uri="{FF2B5EF4-FFF2-40B4-BE49-F238E27FC236}">
                  <a16:creationId xmlns:a16="http://schemas.microsoft.com/office/drawing/2014/main" id="{00000000-0008-0000-08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7" name="Shape 57">
              <a:extLst>
                <a:ext uri="{FF2B5EF4-FFF2-40B4-BE49-F238E27FC236}">
                  <a16:creationId xmlns:a16="http://schemas.microsoft.com/office/drawing/2014/main" id="{00000000-0008-0000-0800-000039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58" name="Shape 58">
              <a:extLst>
                <a:ext uri="{FF2B5EF4-FFF2-40B4-BE49-F238E27FC236}">
                  <a16:creationId xmlns:a16="http://schemas.microsoft.com/office/drawing/2014/main" id="{00000000-0008-0000-0800-00003A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59" name="Shape 59">
              <a:extLst>
                <a:ext uri="{FF2B5EF4-FFF2-40B4-BE49-F238E27FC236}">
                  <a16:creationId xmlns:a16="http://schemas.microsoft.com/office/drawing/2014/main" id="{00000000-0008-0000-0800-00003B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60" name="Shape 60">
              <a:extLst>
                <a:ext uri="{FF2B5EF4-FFF2-40B4-BE49-F238E27FC236}">
                  <a16:creationId xmlns:a16="http://schemas.microsoft.com/office/drawing/2014/main" id="{00000000-0008-0000-0800-00003C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61" name="Shape 61">
              <a:extLst>
                <a:ext uri="{FF2B5EF4-FFF2-40B4-BE49-F238E27FC236}">
                  <a16:creationId xmlns:a16="http://schemas.microsoft.com/office/drawing/2014/main" id="{00000000-0008-0000-0800-00003D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62" name="Shape 62">
              <a:extLst>
                <a:ext uri="{FF2B5EF4-FFF2-40B4-BE49-F238E27FC236}">
                  <a16:creationId xmlns:a16="http://schemas.microsoft.com/office/drawing/2014/main" id="{00000000-0008-0000-0800-00003E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63" name="Shape 63">
              <a:extLst>
                <a:ext uri="{FF2B5EF4-FFF2-40B4-BE49-F238E27FC236}">
                  <a16:creationId xmlns:a16="http://schemas.microsoft.com/office/drawing/2014/main" id="{00000000-0008-0000-0800-00003F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64" name="Shape 64">
              <a:extLst>
                <a:ext uri="{FF2B5EF4-FFF2-40B4-BE49-F238E27FC236}">
                  <a16:creationId xmlns:a16="http://schemas.microsoft.com/office/drawing/2014/main" id="{00000000-0008-0000-0800-000040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9.xml><?xml version="1.0" encoding="utf-8"?>
<xdr:wsDr xmlns:xdr="http://schemas.openxmlformats.org/drawingml/2006/spreadsheetDrawing" xmlns:a="http://schemas.openxmlformats.org/drawingml/2006/main">
  <xdr:oneCellAnchor>
    <xdr:from>
      <xdr:col>5</xdr:col>
      <xdr:colOff>704850</xdr:colOff>
      <xdr:row>3</xdr:row>
      <xdr:rowOff>0</xdr:rowOff>
    </xdr:from>
    <xdr:ext cx="1485900" cy="381000"/>
    <xdr:grpSp>
      <xdr:nvGrpSpPr>
        <xdr:cNvPr id="2" name="Shape 2">
          <a:extLst>
            <a:ext uri="{FF2B5EF4-FFF2-40B4-BE49-F238E27FC236}">
              <a16:creationId xmlns:a16="http://schemas.microsoft.com/office/drawing/2014/main" id="{00000000-0008-0000-0900-000002000000}"/>
            </a:ext>
          </a:extLst>
        </xdr:cNvPr>
        <xdr:cNvGrpSpPr/>
      </xdr:nvGrpSpPr>
      <xdr:grpSpPr>
        <a:xfrm>
          <a:off x="9239250" y="514350"/>
          <a:ext cx="1485900" cy="381000"/>
          <a:chOff x="4603050" y="3589500"/>
          <a:chExt cx="1485900" cy="381000"/>
        </a:xfrm>
      </xdr:grpSpPr>
      <xdr:grpSp>
        <xdr:nvGrpSpPr>
          <xdr:cNvPr id="65" name="Shape 65">
            <a:extLst>
              <a:ext uri="{FF2B5EF4-FFF2-40B4-BE49-F238E27FC236}">
                <a16:creationId xmlns:a16="http://schemas.microsoft.com/office/drawing/2014/main" id="{00000000-0008-0000-0900-000041000000}"/>
              </a:ext>
            </a:extLst>
          </xdr:cNvPr>
          <xdr:cNvGrpSpPr/>
        </xdr:nvGrpSpPr>
        <xdr:grpSpPr>
          <a:xfrm>
            <a:off x="4603050" y="3589500"/>
            <a:ext cx="1485900" cy="381000"/>
            <a:chOff x="9347835" y="633413"/>
            <a:chExt cx="1527810" cy="395287"/>
          </a:xfrm>
        </xdr:grpSpPr>
        <xdr:sp macro="" textlink="">
          <xdr:nvSpPr>
            <xdr:cNvPr id="11" name="Shape 11">
              <a:extLst>
                <a:ext uri="{FF2B5EF4-FFF2-40B4-BE49-F238E27FC236}">
                  <a16:creationId xmlns:a16="http://schemas.microsoft.com/office/drawing/2014/main" id="{00000000-0008-0000-0900-00000B000000}"/>
                </a:ext>
              </a:extLst>
            </xdr:cNvPr>
            <xdr:cNvSpPr/>
          </xdr:nvSpPr>
          <xdr:spPr>
            <a:xfrm>
              <a:off x="9347835" y="633413"/>
              <a:ext cx="1527800" cy="39527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6" name="Shape 66">
              <a:extLst>
                <a:ext uri="{FF2B5EF4-FFF2-40B4-BE49-F238E27FC236}">
                  <a16:creationId xmlns:a16="http://schemas.microsoft.com/office/drawing/2014/main" id="{00000000-0008-0000-0900-000042000000}"/>
                </a:ext>
              </a:extLst>
            </xdr:cNvPr>
            <xdr:cNvSpPr/>
          </xdr:nvSpPr>
          <xdr:spPr>
            <a:xfrm>
              <a:off x="9347835" y="633413"/>
              <a:ext cx="1527810" cy="198120"/>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Console</a:t>
              </a:r>
              <a:endParaRPr sz="1400"/>
            </a:p>
          </xdr:txBody>
        </xdr:sp>
        <xdr:sp macro="" textlink="">
          <xdr:nvSpPr>
            <xdr:cNvPr id="67" name="Shape 67">
              <a:extLst>
                <a:ext uri="{FF2B5EF4-FFF2-40B4-BE49-F238E27FC236}">
                  <a16:creationId xmlns:a16="http://schemas.microsoft.com/office/drawing/2014/main" id="{00000000-0008-0000-0900-000043000000}"/>
                </a:ext>
              </a:extLst>
            </xdr:cNvPr>
            <xdr:cNvSpPr/>
          </xdr:nvSpPr>
          <xdr:spPr>
            <a:xfrm>
              <a:off x="9349741"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C</a:t>
              </a:r>
              <a:endParaRPr sz="1400"/>
            </a:p>
          </xdr:txBody>
        </xdr:sp>
        <xdr:sp macro="" textlink="">
          <xdr:nvSpPr>
            <xdr:cNvPr id="68" name="Shape 68">
              <a:extLst>
                <a:ext uri="{FF2B5EF4-FFF2-40B4-BE49-F238E27FC236}">
                  <a16:creationId xmlns:a16="http://schemas.microsoft.com/office/drawing/2014/main" id="{00000000-0008-0000-0900-000044000000}"/>
                </a:ext>
              </a:extLst>
            </xdr:cNvPr>
            <xdr:cNvSpPr/>
          </xdr:nvSpPr>
          <xdr:spPr>
            <a:xfrm>
              <a:off x="9568816"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a:t>
              </a:r>
              <a:endParaRPr sz="1400"/>
            </a:p>
          </xdr:txBody>
        </xdr:sp>
        <xdr:sp macro="" textlink="">
          <xdr:nvSpPr>
            <xdr:cNvPr id="69" name="Shape 69">
              <a:extLst>
                <a:ext uri="{FF2B5EF4-FFF2-40B4-BE49-F238E27FC236}">
                  <a16:creationId xmlns:a16="http://schemas.microsoft.com/office/drawing/2014/main" id="{00000000-0008-0000-0900-000045000000}"/>
                </a:ext>
              </a:extLst>
            </xdr:cNvPr>
            <xdr:cNvSpPr/>
          </xdr:nvSpPr>
          <xdr:spPr>
            <a:xfrm>
              <a:off x="9787892"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O</a:t>
              </a:r>
              <a:endParaRPr sz="1400"/>
            </a:p>
          </xdr:txBody>
        </xdr:sp>
        <xdr:sp macro="" textlink="">
          <xdr:nvSpPr>
            <xdr:cNvPr id="70" name="Shape 70">
              <a:extLst>
                <a:ext uri="{FF2B5EF4-FFF2-40B4-BE49-F238E27FC236}">
                  <a16:creationId xmlns:a16="http://schemas.microsoft.com/office/drawing/2014/main" id="{00000000-0008-0000-0900-000046000000}"/>
                </a:ext>
              </a:extLst>
            </xdr:cNvPr>
            <xdr:cNvSpPr/>
          </xdr:nvSpPr>
          <xdr:spPr>
            <a:xfrm>
              <a:off x="10006967" y="830581"/>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F</a:t>
              </a:r>
              <a:endParaRPr sz="1400"/>
            </a:p>
          </xdr:txBody>
        </xdr:sp>
        <xdr:sp macro="" textlink="">
          <xdr:nvSpPr>
            <xdr:cNvPr id="71" name="Shape 71">
              <a:extLst>
                <a:ext uri="{FF2B5EF4-FFF2-40B4-BE49-F238E27FC236}">
                  <a16:creationId xmlns:a16="http://schemas.microsoft.com/office/drawing/2014/main" id="{00000000-0008-0000-0900-000047000000}"/>
                </a:ext>
              </a:extLst>
            </xdr:cNvPr>
            <xdr:cNvSpPr/>
          </xdr:nvSpPr>
          <xdr:spPr>
            <a:xfrm>
              <a:off x="10226041"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A</a:t>
              </a:r>
              <a:endParaRPr sz="1400"/>
            </a:p>
          </xdr:txBody>
        </xdr:sp>
        <xdr:sp macro="" textlink="">
          <xdr:nvSpPr>
            <xdr:cNvPr id="72" name="Shape 72">
              <a:extLst>
                <a:ext uri="{FF2B5EF4-FFF2-40B4-BE49-F238E27FC236}">
                  <a16:creationId xmlns:a16="http://schemas.microsoft.com/office/drawing/2014/main" id="{00000000-0008-0000-0900-000048000000}"/>
                </a:ext>
              </a:extLst>
            </xdr:cNvPr>
            <xdr:cNvSpPr/>
          </xdr:nvSpPr>
          <xdr:spPr>
            <a:xfrm>
              <a:off x="10440354" y="830580"/>
              <a:ext cx="216217"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R</a:t>
              </a:r>
              <a:endParaRPr sz="1400"/>
            </a:p>
          </xdr:txBody>
        </xdr:sp>
        <xdr:sp macro="" textlink="">
          <xdr:nvSpPr>
            <xdr:cNvPr id="73" name="Shape 73">
              <a:extLst>
                <a:ext uri="{FF2B5EF4-FFF2-40B4-BE49-F238E27FC236}">
                  <a16:creationId xmlns:a16="http://schemas.microsoft.com/office/drawing/2014/main" id="{00000000-0008-0000-0900-000049000000}"/>
                </a:ext>
              </a:extLst>
            </xdr:cNvPr>
            <xdr:cNvSpPr/>
          </xdr:nvSpPr>
          <xdr:spPr>
            <a:xfrm>
              <a:off x="10653713" y="830580"/>
              <a:ext cx="217170" cy="198119"/>
            </a:xfrm>
            <a:prstGeom prst="rect">
              <a:avLst/>
            </a:prstGeom>
            <a:solidFill>
              <a:schemeClr val="lt1"/>
            </a:solidFill>
            <a:ln w="12700" cap="flat" cmpd="sng">
              <a:solidFill>
                <a:schemeClr val="dk1"/>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I</a:t>
              </a:r>
              <a:endParaRPr sz="1400"/>
            </a:p>
          </xdr:txBody>
        </xdr:sp>
      </xdr:grpSp>
    </xdr:grpSp>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514350</xdr:colOff>
      <xdr:row>0</xdr:row>
      <xdr:rowOff>47625</xdr:rowOff>
    </xdr:from>
    <xdr:ext cx="1685925" cy="600075"/>
    <xdr:pic>
      <xdr:nvPicPr>
        <xdr:cNvPr id="2" name="image2.png" descr="https://share.ey.net/sites/EGS/_layouts/15/EY/Images/EYNewLogo.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abSelected="1" workbookViewId="0"/>
  </sheetViews>
  <sheetFormatPr defaultColWidth="14.40625" defaultRowHeight="15" customHeight="1"/>
  <cols>
    <col min="1" max="4" width="8.86328125" customWidth="1"/>
    <col min="5" max="5" width="10" customWidth="1"/>
    <col min="6" max="6" width="2.6796875" customWidth="1"/>
    <col min="7" max="7" width="50" customWidth="1"/>
    <col min="8" max="8" width="16.26953125" customWidth="1"/>
    <col min="9" max="9" width="15.6796875" customWidth="1"/>
    <col min="10" max="10" width="15.40625" customWidth="1"/>
    <col min="11" max="12" width="8.86328125" customWidth="1"/>
    <col min="13" max="13" width="4.6796875" customWidth="1"/>
    <col min="14" max="15" width="8.86328125" customWidth="1"/>
    <col min="16" max="26" width="8.6796875" customWidth="1"/>
  </cols>
  <sheetData>
    <row r="1" spans="1:26" ht="14.25" customHeight="1">
      <c r="A1" s="1"/>
      <c r="B1" s="1"/>
      <c r="C1" s="1"/>
      <c r="D1" s="1"/>
      <c r="E1" s="1"/>
      <c r="F1" s="1"/>
      <c r="G1" s="1"/>
      <c r="H1" s="1"/>
      <c r="I1" s="1"/>
      <c r="J1" s="1"/>
      <c r="K1" s="1"/>
      <c r="L1" s="1"/>
      <c r="M1" s="1"/>
      <c r="N1" s="1"/>
      <c r="O1" s="1"/>
      <c r="P1" s="1"/>
      <c r="Q1" s="1"/>
      <c r="R1" s="1"/>
      <c r="S1" s="1"/>
      <c r="T1" s="1"/>
      <c r="U1" s="1"/>
      <c r="V1" s="1"/>
      <c r="W1" s="1"/>
      <c r="X1" s="1"/>
      <c r="Y1" s="1"/>
      <c r="Z1" s="1"/>
    </row>
    <row r="2" spans="1:26" ht="14.25" customHeight="1">
      <c r="A2" s="1"/>
      <c r="B2" s="1"/>
      <c r="C2" s="1"/>
      <c r="D2" s="1"/>
      <c r="E2" s="1"/>
      <c r="F2" s="1"/>
      <c r="G2" s="1"/>
      <c r="H2" s="1" t="s">
        <v>0</v>
      </c>
      <c r="I2" s="1" t="s">
        <v>1</v>
      </c>
      <c r="J2" s="1" t="s">
        <v>2</v>
      </c>
      <c r="K2" s="1"/>
      <c r="L2" s="2"/>
      <c r="M2" s="3">
        <v>0</v>
      </c>
      <c r="N2" s="2"/>
      <c r="O2" s="1"/>
      <c r="P2" s="1"/>
      <c r="Q2" s="1"/>
      <c r="R2" s="1"/>
      <c r="S2" s="1"/>
      <c r="T2" s="1"/>
      <c r="U2" s="1"/>
      <c r="V2" s="1"/>
      <c r="W2" s="1"/>
      <c r="X2" s="1"/>
      <c r="Y2" s="1"/>
      <c r="Z2" s="1"/>
    </row>
    <row r="3" spans="1:26" ht="14.25" customHeight="1">
      <c r="A3" s="1"/>
      <c r="B3" s="1"/>
      <c r="C3" s="1"/>
      <c r="D3" s="1"/>
      <c r="E3" s="79" t="s">
        <v>3</v>
      </c>
      <c r="F3" s="4"/>
      <c r="G3" s="5" t="s">
        <v>4</v>
      </c>
      <c r="H3" s="6">
        <f>ROUND(Customer!C3,0)</f>
        <v>2</v>
      </c>
      <c r="I3" s="7">
        <f>ROUND(Customer!D3,0)</f>
        <v>2</v>
      </c>
      <c r="J3" s="7">
        <f>ROUND(Customer!E3,0)</f>
        <v>4</v>
      </c>
      <c r="K3" s="1"/>
      <c r="L3" s="1"/>
      <c r="M3" s="1"/>
      <c r="N3" s="1"/>
      <c r="O3" s="1"/>
      <c r="P3" s="1"/>
      <c r="Q3" s="1"/>
      <c r="R3" s="1"/>
      <c r="S3" s="1"/>
      <c r="T3" s="1"/>
      <c r="U3" s="1"/>
      <c r="V3" s="1"/>
      <c r="W3" s="1"/>
      <c r="X3" s="1"/>
      <c r="Y3" s="1"/>
      <c r="Z3" s="1"/>
    </row>
    <row r="4" spans="1:26" ht="14.25" customHeight="1">
      <c r="A4" s="1"/>
      <c r="B4" s="1"/>
      <c r="C4" s="1"/>
      <c r="D4" s="1"/>
      <c r="E4" s="80"/>
      <c r="F4" s="4"/>
      <c r="G4" s="8" t="s">
        <v>5</v>
      </c>
      <c r="H4" s="9">
        <f>Customer!C4</f>
        <v>1</v>
      </c>
      <c r="I4" s="10">
        <f>Customer!D4</f>
        <v>2</v>
      </c>
      <c r="J4" s="10">
        <f>ROUND(Customer!E4,0)</f>
        <v>2</v>
      </c>
      <c r="K4" s="1"/>
      <c r="L4" s="1"/>
      <c r="M4" s="1"/>
      <c r="N4" s="1"/>
      <c r="O4" s="1"/>
      <c r="P4" s="1"/>
      <c r="Q4" s="1"/>
      <c r="R4" s="1"/>
      <c r="S4" s="1"/>
      <c r="T4" s="1"/>
      <c r="U4" s="1"/>
      <c r="V4" s="1"/>
      <c r="W4" s="1"/>
      <c r="X4" s="1"/>
      <c r="Y4" s="1"/>
      <c r="Z4" s="1"/>
    </row>
    <row r="5" spans="1:26" ht="14.25" customHeight="1">
      <c r="A5" s="1"/>
      <c r="B5" s="1"/>
      <c r="C5" s="1"/>
      <c r="D5" s="1"/>
      <c r="E5" s="80"/>
      <c r="F5" s="4"/>
      <c r="G5" s="11" t="s">
        <v>6</v>
      </c>
      <c r="H5" s="9">
        <f>Customer!C5</f>
        <v>2</v>
      </c>
      <c r="I5" s="10">
        <f>Customer!D5</f>
        <v>1</v>
      </c>
      <c r="J5" s="10">
        <f>ROUND(Customer!E5,0)</f>
        <v>2</v>
      </c>
      <c r="K5" s="1"/>
      <c r="L5" s="1"/>
      <c r="M5" s="1"/>
      <c r="N5" s="1"/>
      <c r="O5" s="1"/>
      <c r="P5" s="1"/>
      <c r="Q5" s="1"/>
      <c r="R5" s="1"/>
      <c r="S5" s="1"/>
      <c r="T5" s="1"/>
      <c r="U5" s="1"/>
      <c r="V5" s="1"/>
      <c r="W5" s="1"/>
      <c r="X5" s="1"/>
      <c r="Y5" s="1"/>
      <c r="Z5" s="1"/>
    </row>
    <row r="6" spans="1:26" ht="14.25" customHeight="1">
      <c r="A6" s="1"/>
      <c r="B6" s="1"/>
      <c r="C6" s="1"/>
      <c r="D6" s="1"/>
      <c r="E6" s="80"/>
      <c r="F6" s="4"/>
      <c r="G6" s="12" t="s">
        <v>7</v>
      </c>
      <c r="H6" s="9">
        <f>Customer!C6</f>
        <v>1</v>
      </c>
      <c r="I6" s="10">
        <f>Customer!D6</f>
        <v>1</v>
      </c>
      <c r="J6" s="10">
        <f>ROUND(Customer!E6,0)</f>
        <v>1</v>
      </c>
      <c r="K6" s="1"/>
      <c r="L6" s="1"/>
      <c r="M6" s="1"/>
      <c r="N6" s="1"/>
      <c r="O6" s="1"/>
      <c r="P6" s="1"/>
      <c r="Q6" s="1"/>
      <c r="R6" s="1"/>
      <c r="S6" s="1"/>
      <c r="T6" s="1"/>
      <c r="U6" s="1"/>
      <c r="V6" s="1"/>
      <c r="W6" s="1"/>
      <c r="X6" s="1"/>
      <c r="Y6" s="1"/>
      <c r="Z6" s="1"/>
    </row>
    <row r="7" spans="1:26" ht="14.25" customHeight="1">
      <c r="A7" s="1"/>
      <c r="B7" s="1"/>
      <c r="C7" s="1"/>
      <c r="D7" s="1"/>
      <c r="E7" s="81"/>
      <c r="F7" s="4"/>
      <c r="G7" s="13" t="s">
        <v>8</v>
      </c>
      <c r="H7" s="9">
        <f>Customer!C7</f>
        <v>4</v>
      </c>
      <c r="I7" s="10">
        <f>Customer!D7</f>
        <v>3</v>
      </c>
      <c r="J7" s="10">
        <f>ROUND(Customer!E7,0)</f>
        <v>12</v>
      </c>
      <c r="K7" s="1"/>
      <c r="L7" s="1"/>
      <c r="M7" s="1"/>
      <c r="N7" s="1"/>
      <c r="O7" s="14"/>
      <c r="P7" s="1"/>
      <c r="Q7" s="1"/>
      <c r="R7" s="1"/>
      <c r="S7" s="1"/>
      <c r="T7" s="1"/>
      <c r="U7" s="1"/>
      <c r="V7" s="1"/>
      <c r="W7" s="1"/>
      <c r="X7" s="1"/>
      <c r="Y7" s="1"/>
      <c r="Z7" s="1"/>
    </row>
    <row r="8" spans="1:26" ht="14.25" customHeight="1">
      <c r="A8" s="1"/>
      <c r="B8" s="1"/>
      <c r="C8" s="1"/>
      <c r="D8" s="1"/>
      <c r="E8" s="4"/>
      <c r="F8" s="4"/>
      <c r="G8" s="15"/>
      <c r="H8" s="16"/>
      <c r="I8" s="16"/>
      <c r="J8" s="16"/>
      <c r="K8" s="1"/>
      <c r="L8" s="1"/>
      <c r="M8" s="1"/>
      <c r="N8" s="1"/>
      <c r="O8" s="14"/>
      <c r="P8" s="1"/>
      <c r="Q8" s="1"/>
      <c r="R8" s="1"/>
      <c r="S8" s="1"/>
      <c r="T8" s="1"/>
      <c r="U8" s="1"/>
      <c r="V8" s="1"/>
      <c r="W8" s="1"/>
      <c r="X8" s="1"/>
      <c r="Y8" s="1"/>
      <c r="Z8" s="1"/>
    </row>
    <row r="9" spans="1:26" ht="14.25" customHeight="1">
      <c r="A9" s="1"/>
      <c r="B9" s="1"/>
      <c r="C9" s="1"/>
      <c r="D9" s="1"/>
      <c r="E9" s="79" t="s">
        <v>9</v>
      </c>
      <c r="F9" s="4"/>
      <c r="G9" s="5" t="s">
        <v>4</v>
      </c>
      <c r="H9" s="6">
        <f>People!C3</f>
        <v>2.2000000000000002</v>
      </c>
      <c r="I9" s="7">
        <f>People!D3</f>
        <v>3.6</v>
      </c>
      <c r="J9" s="7">
        <f>People!E3</f>
        <v>7</v>
      </c>
      <c r="K9" s="1"/>
      <c r="L9" s="1"/>
      <c r="M9" s="1"/>
      <c r="N9" s="1"/>
      <c r="O9" s="14"/>
      <c r="P9" s="1"/>
      <c r="Q9" s="1"/>
      <c r="R9" s="1"/>
      <c r="S9" s="1"/>
      <c r="T9" s="1"/>
      <c r="U9" s="1"/>
      <c r="V9" s="1"/>
      <c r="W9" s="1"/>
      <c r="X9" s="1"/>
      <c r="Y9" s="1"/>
      <c r="Z9" s="1"/>
    </row>
    <row r="10" spans="1:26" ht="14.25" customHeight="1">
      <c r="A10" s="1"/>
      <c r="B10" s="1"/>
      <c r="C10" s="1"/>
      <c r="D10" s="1"/>
      <c r="E10" s="80"/>
      <c r="F10" s="4"/>
      <c r="G10" s="17" t="s">
        <v>10</v>
      </c>
      <c r="H10" s="9">
        <f>People!C4</f>
        <v>1</v>
      </c>
      <c r="I10" s="10">
        <f>People!D4</f>
        <v>4</v>
      </c>
      <c r="J10" s="10">
        <f>People!E4</f>
        <v>4</v>
      </c>
      <c r="K10" s="1"/>
      <c r="L10" s="1"/>
      <c r="M10" s="1"/>
      <c r="N10" s="1"/>
      <c r="O10" s="14"/>
      <c r="P10" s="1"/>
      <c r="Q10" s="1"/>
      <c r="R10" s="1"/>
      <c r="S10" s="1"/>
      <c r="T10" s="1"/>
      <c r="U10" s="1"/>
      <c r="V10" s="1"/>
      <c r="W10" s="1"/>
      <c r="X10" s="1"/>
      <c r="Y10" s="1"/>
      <c r="Z10" s="1"/>
    </row>
    <row r="11" spans="1:26" ht="14.25" customHeight="1">
      <c r="A11" s="1"/>
      <c r="B11" s="1"/>
      <c r="C11" s="1"/>
      <c r="D11" s="1"/>
      <c r="E11" s="80"/>
      <c r="F11" s="4"/>
      <c r="G11" s="18" t="s">
        <v>11</v>
      </c>
      <c r="H11" s="9">
        <f>People!C5</f>
        <v>2</v>
      </c>
      <c r="I11" s="10">
        <f>People!D5</f>
        <v>4</v>
      </c>
      <c r="J11" s="10">
        <f>People!E5</f>
        <v>8</v>
      </c>
      <c r="K11" s="1"/>
      <c r="L11" s="1"/>
      <c r="M11" s="1"/>
      <c r="N11" s="1"/>
      <c r="O11" s="14"/>
      <c r="P11" s="1"/>
      <c r="Q11" s="1"/>
      <c r="R11" s="1"/>
      <c r="S11" s="1"/>
      <c r="T11" s="1"/>
      <c r="U11" s="1"/>
      <c r="V11" s="1"/>
      <c r="W11" s="1"/>
      <c r="X11" s="1"/>
      <c r="Y11" s="1"/>
      <c r="Z11" s="1"/>
    </row>
    <row r="12" spans="1:26" ht="14.25" customHeight="1">
      <c r="A12" s="1"/>
      <c r="B12" s="1"/>
      <c r="C12" s="1"/>
      <c r="D12" s="1"/>
      <c r="E12" s="80"/>
      <c r="F12" s="4"/>
      <c r="G12" s="19" t="s">
        <v>12</v>
      </c>
      <c r="H12" s="9">
        <f>People!C6</f>
        <v>1</v>
      </c>
      <c r="I12" s="10">
        <f>People!D6</f>
        <v>4</v>
      </c>
      <c r="J12" s="10">
        <f>People!E6</f>
        <v>4</v>
      </c>
      <c r="K12" s="1"/>
      <c r="L12" s="1"/>
      <c r="M12" s="1"/>
      <c r="N12" s="1"/>
      <c r="O12" s="14"/>
      <c r="P12" s="1"/>
      <c r="Q12" s="1"/>
      <c r="R12" s="1"/>
      <c r="S12" s="1"/>
      <c r="T12" s="1"/>
      <c r="U12" s="1"/>
      <c r="V12" s="1"/>
      <c r="W12" s="1"/>
      <c r="X12" s="1"/>
      <c r="Y12" s="1"/>
      <c r="Z12" s="1"/>
    </row>
    <row r="13" spans="1:26" ht="14.25" customHeight="1">
      <c r="A13" s="1"/>
      <c r="B13" s="1"/>
      <c r="C13" s="1"/>
      <c r="D13" s="1"/>
      <c r="E13" s="80"/>
      <c r="F13" s="4"/>
      <c r="G13" s="18" t="s">
        <v>13</v>
      </c>
      <c r="H13" s="9">
        <f>People!C7</f>
        <v>4</v>
      </c>
      <c r="I13" s="10">
        <f>People!D7</f>
        <v>3</v>
      </c>
      <c r="J13" s="10">
        <f>People!E7</f>
        <v>12</v>
      </c>
      <c r="K13" s="1"/>
      <c r="L13" s="1"/>
      <c r="M13" s="1"/>
      <c r="N13" s="1"/>
      <c r="O13" s="14"/>
      <c r="P13" s="1"/>
      <c r="Q13" s="1"/>
      <c r="R13" s="1"/>
      <c r="S13" s="1"/>
      <c r="T13" s="1"/>
      <c r="U13" s="1"/>
      <c r="V13" s="1"/>
      <c r="W13" s="1"/>
      <c r="X13" s="1"/>
      <c r="Y13" s="1"/>
      <c r="Z13" s="1"/>
    </row>
    <row r="14" spans="1:26" ht="14.25" customHeight="1">
      <c r="A14" s="1"/>
      <c r="B14" s="1"/>
      <c r="C14" s="1"/>
      <c r="D14" s="1"/>
      <c r="E14" s="81"/>
      <c r="F14" s="4"/>
      <c r="G14" s="20" t="s">
        <v>14</v>
      </c>
      <c r="H14" s="9">
        <f>People!C8</f>
        <v>3</v>
      </c>
      <c r="I14" s="10">
        <f>People!D8</f>
        <v>3</v>
      </c>
      <c r="J14" s="10">
        <f>People!E8</f>
        <v>9</v>
      </c>
      <c r="K14" s="1"/>
      <c r="L14" s="1"/>
      <c r="M14" s="1"/>
      <c r="N14" s="1"/>
      <c r="O14" s="1"/>
      <c r="P14" s="1"/>
      <c r="Q14" s="1"/>
      <c r="R14" s="1"/>
      <c r="S14" s="1"/>
      <c r="T14" s="1"/>
      <c r="U14" s="1"/>
      <c r="V14" s="1"/>
      <c r="W14" s="1"/>
      <c r="X14" s="1"/>
      <c r="Y14" s="1"/>
      <c r="Z14" s="1"/>
    </row>
    <row r="15" spans="1:26" ht="14.25" customHeight="1">
      <c r="A15" s="1"/>
      <c r="B15" s="1"/>
      <c r="C15" s="1"/>
      <c r="D15" s="1"/>
      <c r="E15" s="4"/>
      <c r="F15" s="4"/>
      <c r="G15" s="1"/>
      <c r="H15" s="16"/>
      <c r="I15" s="16"/>
      <c r="J15" s="16"/>
      <c r="K15" s="1"/>
      <c r="L15" s="1"/>
      <c r="M15" s="14"/>
      <c r="N15" s="1"/>
      <c r="O15" s="1"/>
      <c r="P15" s="1"/>
      <c r="Q15" s="1"/>
      <c r="R15" s="1"/>
      <c r="S15" s="1"/>
      <c r="T15" s="1"/>
      <c r="U15" s="1"/>
      <c r="V15" s="1"/>
      <c r="W15" s="1"/>
      <c r="X15" s="1"/>
      <c r="Y15" s="1"/>
      <c r="Z15" s="1"/>
    </row>
    <row r="16" spans="1:26" ht="14.25" customHeight="1">
      <c r="A16" s="1"/>
      <c r="B16" s="1"/>
      <c r="C16" s="1"/>
      <c r="D16" s="1"/>
      <c r="E16" s="79" t="s">
        <v>15</v>
      </c>
      <c r="F16" s="1"/>
      <c r="G16" s="5" t="s">
        <v>4</v>
      </c>
      <c r="H16" s="6">
        <f>Operations!C3</f>
        <v>2.4</v>
      </c>
      <c r="I16" s="7">
        <f>Operations!D3</f>
        <v>2.6</v>
      </c>
      <c r="J16" s="7">
        <f>Operations!E3</f>
        <v>6</v>
      </c>
      <c r="K16" s="1"/>
      <c r="L16" s="1"/>
      <c r="M16" s="14"/>
      <c r="N16" s="1"/>
      <c r="O16" s="14"/>
      <c r="P16" s="1"/>
      <c r="Q16" s="1"/>
      <c r="R16" s="1"/>
      <c r="S16" s="1"/>
      <c r="T16" s="1"/>
      <c r="U16" s="1"/>
      <c r="V16" s="1"/>
      <c r="W16" s="1"/>
      <c r="X16" s="1"/>
      <c r="Y16" s="1"/>
      <c r="Z16" s="1"/>
    </row>
    <row r="17" spans="1:26" ht="14.25" customHeight="1">
      <c r="A17" s="1"/>
      <c r="B17" s="1"/>
      <c r="C17" s="1"/>
      <c r="D17" s="1"/>
      <c r="E17" s="80"/>
      <c r="F17" s="1"/>
      <c r="G17" s="17" t="str">
        <f>Operations!B4</f>
        <v>Sourcing and Supply Chain</v>
      </c>
      <c r="H17" s="9">
        <f>Operations!C4</f>
        <v>2</v>
      </c>
      <c r="I17" s="10">
        <f>Operations!D4</f>
        <v>4</v>
      </c>
      <c r="J17" s="10">
        <f>Operations!E4</f>
        <v>8</v>
      </c>
      <c r="K17" s="1"/>
      <c r="L17" s="1"/>
      <c r="M17" s="14"/>
      <c r="N17" s="1"/>
      <c r="O17" s="14"/>
      <c r="P17" s="1"/>
      <c r="Q17" s="1"/>
      <c r="R17" s="1"/>
      <c r="S17" s="1"/>
      <c r="T17" s="1"/>
      <c r="U17" s="1"/>
      <c r="V17" s="1"/>
      <c r="W17" s="1"/>
      <c r="X17" s="1"/>
      <c r="Y17" s="1"/>
      <c r="Z17" s="1"/>
    </row>
    <row r="18" spans="1:26" ht="14.25" customHeight="1">
      <c r="A18" s="1"/>
      <c r="B18" s="1"/>
      <c r="C18" s="1"/>
      <c r="D18" s="1"/>
      <c r="E18" s="80"/>
      <c r="F18" s="1"/>
      <c r="G18" s="18" t="str">
        <f>Operations!B5</f>
        <v>Internal Operations and Assets</v>
      </c>
      <c r="H18" s="9">
        <f>Operations!C5</f>
        <v>3</v>
      </c>
      <c r="I18" s="10">
        <f>Operations!D5</f>
        <v>1</v>
      </c>
      <c r="J18" s="10">
        <f>Operations!E5</f>
        <v>3</v>
      </c>
      <c r="K18" s="1"/>
      <c r="L18" s="1"/>
      <c r="M18" s="14"/>
      <c r="N18" s="1"/>
      <c r="O18" s="14"/>
      <c r="P18" s="1"/>
      <c r="Q18" s="1"/>
      <c r="R18" s="1"/>
      <c r="S18" s="1"/>
      <c r="T18" s="1"/>
      <c r="U18" s="1"/>
      <c r="V18" s="1"/>
      <c r="W18" s="1"/>
      <c r="X18" s="1"/>
      <c r="Y18" s="1"/>
      <c r="Z18" s="1"/>
    </row>
    <row r="19" spans="1:26" ht="14.25" customHeight="1">
      <c r="A19" s="1"/>
      <c r="B19" s="1"/>
      <c r="C19" s="1"/>
      <c r="D19" s="1"/>
      <c r="E19" s="80"/>
      <c r="F19" s="1"/>
      <c r="G19" s="19" t="str">
        <f>Operations!B6</f>
        <v>Distribution and Logistics</v>
      </c>
      <c r="H19" s="9">
        <f>Operations!C6</f>
        <v>1</v>
      </c>
      <c r="I19" s="10">
        <f>Operations!D6</f>
        <v>2</v>
      </c>
      <c r="J19" s="10">
        <f>Operations!E6</f>
        <v>2</v>
      </c>
      <c r="K19" s="1"/>
      <c r="L19" s="1"/>
      <c r="M19" s="14"/>
      <c r="N19" s="1"/>
      <c r="O19" s="14"/>
      <c r="P19" s="1"/>
      <c r="Q19" s="1"/>
      <c r="R19" s="1"/>
      <c r="S19" s="1"/>
      <c r="T19" s="1"/>
      <c r="U19" s="1"/>
      <c r="V19" s="1"/>
      <c r="W19" s="1"/>
      <c r="X19" s="1"/>
      <c r="Y19" s="1"/>
      <c r="Z19" s="1"/>
    </row>
    <row r="20" spans="1:26" ht="14.25" customHeight="1">
      <c r="A20" s="1"/>
      <c r="B20" s="1"/>
      <c r="C20" s="1"/>
      <c r="D20" s="1"/>
      <c r="E20" s="80"/>
      <c r="F20" s="1"/>
      <c r="G20" s="18" t="str">
        <f>Operations!B7</f>
        <v>Operations Strategy</v>
      </c>
      <c r="H20" s="9">
        <f>Operations!C7</f>
        <v>3</v>
      </c>
      <c r="I20" s="10">
        <f>Operations!D7</f>
        <v>3</v>
      </c>
      <c r="J20" s="10">
        <f>Operations!E7</f>
        <v>9</v>
      </c>
      <c r="K20" s="1"/>
      <c r="L20" s="1"/>
      <c r="M20" s="1"/>
      <c r="N20" s="1"/>
      <c r="O20" s="14"/>
      <c r="P20" s="1"/>
      <c r="Q20" s="1"/>
      <c r="R20" s="1"/>
      <c r="S20" s="1"/>
      <c r="T20" s="1"/>
      <c r="U20" s="1"/>
      <c r="V20" s="1"/>
      <c r="W20" s="1"/>
      <c r="X20" s="1"/>
      <c r="Y20" s="1"/>
      <c r="Z20" s="1"/>
    </row>
    <row r="21" spans="1:26" ht="14.25" customHeight="1">
      <c r="A21" s="1"/>
      <c r="B21" s="1"/>
      <c r="C21" s="1"/>
      <c r="D21" s="1"/>
      <c r="E21" s="81"/>
      <c r="F21" s="1"/>
      <c r="G21" s="20" t="str">
        <f>Operations!B8</f>
        <v>Operational Excellence and Continuous Improvement</v>
      </c>
      <c r="H21" s="9">
        <f>Operations!C8</f>
        <v>3</v>
      </c>
      <c r="I21" s="10">
        <f>Operations!D8</f>
        <v>3</v>
      </c>
      <c r="J21" s="10">
        <f>Operations!E8</f>
        <v>9</v>
      </c>
      <c r="K21" s="1"/>
      <c r="L21" s="1"/>
      <c r="M21" s="1"/>
      <c r="N21" s="1"/>
      <c r="O21" s="14"/>
      <c r="P21" s="1"/>
      <c r="Q21" s="1"/>
      <c r="R21" s="1"/>
      <c r="S21" s="1"/>
      <c r="T21" s="1"/>
      <c r="U21" s="1"/>
      <c r="V21" s="1"/>
      <c r="W21" s="1"/>
      <c r="X21" s="1"/>
      <c r="Y21" s="1"/>
      <c r="Z21" s="1"/>
    </row>
    <row r="22" spans="1:26" ht="14.25" customHeight="1">
      <c r="A22" s="1"/>
      <c r="B22" s="1"/>
      <c r="C22" s="1"/>
      <c r="D22" s="1"/>
      <c r="E22" s="4"/>
      <c r="F22" s="1"/>
      <c r="G22" s="1"/>
      <c r="H22" s="16"/>
      <c r="I22" s="16"/>
      <c r="J22" s="16"/>
      <c r="K22" s="1"/>
      <c r="L22" s="1"/>
      <c r="M22" s="1"/>
      <c r="N22" s="1"/>
      <c r="O22" s="14"/>
      <c r="P22" s="1"/>
      <c r="Q22" s="1"/>
      <c r="R22" s="1"/>
      <c r="S22" s="1"/>
      <c r="T22" s="1"/>
      <c r="U22" s="1"/>
      <c r="V22" s="1"/>
      <c r="W22" s="1"/>
      <c r="X22" s="1"/>
      <c r="Y22" s="1"/>
      <c r="Z22" s="1"/>
    </row>
    <row r="23" spans="1:26" ht="14.25" customHeight="1">
      <c r="A23" s="1"/>
      <c r="B23" s="1"/>
      <c r="C23" s="1"/>
      <c r="D23" s="1"/>
      <c r="E23" s="79" t="s">
        <v>16</v>
      </c>
      <c r="F23" s="1"/>
      <c r="G23" s="21" t="s">
        <v>4</v>
      </c>
      <c r="H23" s="7">
        <f>Finance!C3</f>
        <v>2.6</v>
      </c>
      <c r="I23" s="7">
        <f>Finance!D3</f>
        <v>3</v>
      </c>
      <c r="J23" s="7">
        <f>Finance!E3</f>
        <v>8</v>
      </c>
      <c r="K23" s="1"/>
      <c r="L23" s="1"/>
      <c r="M23" s="1"/>
      <c r="N23" s="1"/>
      <c r="O23" s="1"/>
      <c r="P23" s="1"/>
      <c r="Q23" s="1"/>
      <c r="R23" s="1"/>
      <c r="S23" s="1"/>
      <c r="T23" s="1"/>
      <c r="U23" s="1"/>
      <c r="V23" s="1"/>
      <c r="W23" s="1"/>
      <c r="X23" s="1"/>
      <c r="Y23" s="1"/>
      <c r="Z23" s="1"/>
    </row>
    <row r="24" spans="1:26" ht="14.25" customHeight="1">
      <c r="A24" s="1"/>
      <c r="B24" s="1"/>
      <c r="C24" s="1"/>
      <c r="D24" s="1"/>
      <c r="E24" s="80"/>
      <c r="F24" s="1"/>
      <c r="G24" s="22" t="s">
        <v>17</v>
      </c>
      <c r="H24" s="10">
        <f>Finance!C4</f>
        <v>4</v>
      </c>
      <c r="I24" s="10">
        <f>Finance!D4</f>
        <v>4</v>
      </c>
      <c r="J24" s="10">
        <f>Finance!E4</f>
        <v>16</v>
      </c>
      <c r="K24" s="1"/>
      <c r="L24" s="1"/>
      <c r="M24" s="1"/>
      <c r="N24" s="1"/>
      <c r="O24" s="1"/>
      <c r="P24" s="1"/>
      <c r="Q24" s="1"/>
      <c r="R24" s="1"/>
      <c r="S24" s="1"/>
      <c r="T24" s="1"/>
      <c r="U24" s="1"/>
      <c r="V24" s="1"/>
      <c r="W24" s="1"/>
      <c r="X24" s="1"/>
      <c r="Y24" s="1"/>
      <c r="Z24" s="1"/>
    </row>
    <row r="25" spans="1:26" ht="14.25" customHeight="1">
      <c r="A25" s="1"/>
      <c r="B25" s="1"/>
      <c r="C25" s="1"/>
      <c r="D25" s="1"/>
      <c r="E25" s="80"/>
      <c r="F25" s="1"/>
      <c r="G25" s="23" t="s">
        <v>18</v>
      </c>
      <c r="H25" s="10">
        <f>Finance!C5</f>
        <v>2</v>
      </c>
      <c r="I25" s="10">
        <f>Finance!D5</f>
        <v>3</v>
      </c>
      <c r="J25" s="10">
        <f>Finance!E5</f>
        <v>6</v>
      </c>
      <c r="K25" s="1"/>
      <c r="L25" s="1"/>
      <c r="M25" s="1"/>
      <c r="N25" s="1"/>
      <c r="O25" s="1"/>
      <c r="P25" s="1"/>
      <c r="Q25" s="1"/>
      <c r="R25" s="1"/>
      <c r="S25" s="1"/>
      <c r="T25" s="1"/>
      <c r="U25" s="1"/>
      <c r="V25" s="1"/>
      <c r="W25" s="1"/>
      <c r="X25" s="1"/>
      <c r="Y25" s="1"/>
      <c r="Z25" s="1"/>
    </row>
    <row r="26" spans="1:26" ht="14.25" customHeight="1">
      <c r="A26" s="1"/>
      <c r="B26" s="1"/>
      <c r="C26" s="1"/>
      <c r="D26" s="1"/>
      <c r="E26" s="80"/>
      <c r="F26" s="1"/>
      <c r="G26" s="22" t="s">
        <v>19</v>
      </c>
      <c r="H26" s="10">
        <f>Finance!C6</f>
        <v>1</v>
      </c>
      <c r="I26" s="10">
        <f>Finance!D6</f>
        <v>2</v>
      </c>
      <c r="J26" s="10">
        <f>Finance!E6</f>
        <v>2</v>
      </c>
      <c r="K26" s="1"/>
      <c r="L26" s="1"/>
      <c r="M26" s="1"/>
      <c r="N26" s="1"/>
      <c r="O26" s="1"/>
      <c r="P26" s="1"/>
      <c r="Q26" s="1"/>
      <c r="R26" s="1"/>
      <c r="S26" s="1"/>
      <c r="T26" s="1"/>
      <c r="U26" s="1"/>
      <c r="V26" s="1"/>
      <c r="W26" s="1"/>
      <c r="X26" s="1"/>
      <c r="Y26" s="1"/>
      <c r="Z26" s="1"/>
    </row>
    <row r="27" spans="1:26" ht="14.25" customHeight="1">
      <c r="A27" s="1"/>
      <c r="B27" s="1"/>
      <c r="C27" s="1"/>
      <c r="D27" s="1"/>
      <c r="E27" s="80"/>
      <c r="F27" s="1"/>
      <c r="G27" s="23" t="s">
        <v>20</v>
      </c>
      <c r="H27" s="10">
        <f>Finance!C7</f>
        <v>3</v>
      </c>
      <c r="I27" s="10">
        <f>Finance!D7</f>
        <v>3</v>
      </c>
      <c r="J27" s="10">
        <f>Finance!E7</f>
        <v>9</v>
      </c>
      <c r="K27" s="1"/>
      <c r="L27" s="1"/>
      <c r="M27" s="1"/>
      <c r="N27" s="1"/>
      <c r="O27" s="1"/>
      <c r="P27" s="1"/>
      <c r="Q27" s="1"/>
      <c r="R27" s="1"/>
      <c r="S27" s="1"/>
      <c r="T27" s="1"/>
      <c r="U27" s="1"/>
      <c r="V27" s="1"/>
      <c r="W27" s="1"/>
      <c r="X27" s="1"/>
      <c r="Y27" s="1"/>
      <c r="Z27" s="1"/>
    </row>
    <row r="28" spans="1:26" ht="14.25" customHeight="1">
      <c r="A28" s="1"/>
      <c r="B28" s="1"/>
      <c r="C28" s="1"/>
      <c r="D28" s="1"/>
      <c r="E28" s="81"/>
      <c r="F28" s="1"/>
      <c r="G28" s="24" t="s">
        <v>21</v>
      </c>
      <c r="H28" s="10">
        <f>Finance!C8</f>
        <v>3</v>
      </c>
      <c r="I28" s="10">
        <f>Finance!D8</f>
        <v>3</v>
      </c>
      <c r="J28" s="10">
        <f>Finance!E8</f>
        <v>9</v>
      </c>
      <c r="K28" s="1"/>
      <c r="L28" s="1"/>
      <c r="M28" s="1"/>
      <c r="N28" s="1"/>
      <c r="O28" s="1"/>
      <c r="P28" s="1"/>
      <c r="Q28" s="1"/>
      <c r="R28" s="1"/>
      <c r="S28" s="1"/>
      <c r="T28" s="1"/>
      <c r="U28" s="1"/>
      <c r="V28" s="1"/>
      <c r="W28" s="1"/>
      <c r="X28" s="1"/>
      <c r="Y28" s="1"/>
      <c r="Z28" s="1"/>
    </row>
    <row r="29" spans="1:26" ht="14.25" customHeight="1">
      <c r="A29" s="1"/>
      <c r="B29" s="1"/>
      <c r="C29" s="1"/>
      <c r="D29" s="1"/>
      <c r="E29" s="1"/>
      <c r="F29" s="1"/>
      <c r="G29" s="1"/>
      <c r="H29" s="16"/>
      <c r="I29" s="16"/>
      <c r="J29" s="16"/>
      <c r="K29" s="1"/>
      <c r="L29" s="1"/>
      <c r="M29" s="1"/>
      <c r="N29" s="1"/>
      <c r="O29" s="1"/>
      <c r="P29" s="1"/>
      <c r="Q29" s="1"/>
      <c r="R29" s="1"/>
      <c r="S29" s="1"/>
      <c r="T29" s="1"/>
      <c r="U29" s="1"/>
      <c r="V29" s="1"/>
      <c r="W29" s="1"/>
      <c r="X29" s="1"/>
      <c r="Y29" s="1"/>
      <c r="Z29" s="1"/>
    </row>
    <row r="30" spans="1:26" ht="14.25" customHeight="1">
      <c r="A30" s="1"/>
      <c r="B30" s="1"/>
      <c r="C30" s="1"/>
      <c r="D30" s="1"/>
      <c r="E30" s="79" t="s">
        <v>22</v>
      </c>
      <c r="F30" s="1"/>
      <c r="G30" s="21" t="s">
        <v>4</v>
      </c>
      <c r="H30" s="7">
        <f>Analytics!C3</f>
        <v>1.3333333333333333</v>
      </c>
      <c r="I30" s="7">
        <f>Analytics!D3</f>
        <v>3</v>
      </c>
      <c r="J30" s="7">
        <f>Analytics!E3</f>
        <v>4</v>
      </c>
      <c r="K30" s="1"/>
      <c r="L30" s="1"/>
      <c r="M30" s="1"/>
      <c r="N30" s="1"/>
      <c r="O30" s="1"/>
      <c r="P30" s="1"/>
      <c r="Q30" s="1"/>
      <c r="R30" s="1"/>
      <c r="S30" s="1"/>
      <c r="T30" s="1"/>
      <c r="U30" s="1"/>
      <c r="V30" s="1"/>
      <c r="W30" s="1"/>
      <c r="X30" s="1"/>
      <c r="Y30" s="1"/>
      <c r="Z30" s="1"/>
    </row>
    <row r="31" spans="1:26" ht="14.25" customHeight="1">
      <c r="A31" s="1"/>
      <c r="B31" s="1"/>
      <c r="C31" s="1"/>
      <c r="D31" s="1"/>
      <c r="E31" s="80"/>
      <c r="F31" s="1"/>
      <c r="G31" s="25" t="s">
        <v>23</v>
      </c>
      <c r="H31" s="10">
        <f>Analytics!C4</f>
        <v>2</v>
      </c>
      <c r="I31" s="10">
        <f>Analytics!D4</f>
        <v>3</v>
      </c>
      <c r="J31" s="10">
        <f>Analytics!E4</f>
        <v>6</v>
      </c>
      <c r="K31" s="1"/>
      <c r="L31" s="1"/>
      <c r="M31" s="1"/>
      <c r="N31" s="1"/>
      <c r="O31" s="1"/>
      <c r="P31" s="1"/>
      <c r="Q31" s="1"/>
      <c r="R31" s="1"/>
      <c r="S31" s="1"/>
      <c r="T31" s="1"/>
      <c r="U31" s="1"/>
      <c r="V31" s="1"/>
      <c r="W31" s="1"/>
      <c r="X31" s="1"/>
      <c r="Y31" s="1"/>
      <c r="Z31" s="1"/>
    </row>
    <row r="32" spans="1:26" ht="14.25" customHeight="1">
      <c r="A32" s="1"/>
      <c r="B32" s="1"/>
      <c r="C32" s="1"/>
      <c r="D32" s="1"/>
      <c r="E32" s="80"/>
      <c r="F32" s="1"/>
      <c r="G32" s="23" t="s">
        <v>24</v>
      </c>
      <c r="H32" s="10">
        <f>Analytics!C5</f>
        <v>1</v>
      </c>
      <c r="I32" s="10">
        <f>Analytics!D5</f>
        <v>2</v>
      </c>
      <c r="J32" s="10">
        <f>Analytics!E5</f>
        <v>2</v>
      </c>
      <c r="K32" s="1"/>
      <c r="L32" s="1"/>
      <c r="M32" s="1"/>
      <c r="N32" s="1"/>
      <c r="O32" s="1"/>
      <c r="P32" s="1"/>
      <c r="Q32" s="1"/>
      <c r="R32" s="1"/>
      <c r="S32" s="1"/>
      <c r="T32" s="1"/>
      <c r="U32" s="1"/>
      <c r="V32" s="1"/>
      <c r="W32" s="1"/>
      <c r="X32" s="1"/>
      <c r="Y32" s="1"/>
      <c r="Z32" s="1"/>
    </row>
    <row r="33" spans="1:26" ht="14.25" customHeight="1">
      <c r="A33" s="1"/>
      <c r="B33" s="1"/>
      <c r="C33" s="1"/>
      <c r="D33" s="1"/>
      <c r="E33" s="81"/>
      <c r="F33" s="1"/>
      <c r="G33" s="24" t="s">
        <v>25</v>
      </c>
      <c r="H33" s="10">
        <f>Analytics!C6</f>
        <v>1</v>
      </c>
      <c r="I33" s="10">
        <f>Analytics!D6</f>
        <v>4</v>
      </c>
      <c r="J33" s="10">
        <f>Analytics!E6</f>
        <v>4</v>
      </c>
      <c r="K33" s="1"/>
      <c r="L33" s="1"/>
      <c r="M33" s="1"/>
      <c r="N33" s="1"/>
      <c r="O33" s="1"/>
      <c r="P33" s="1"/>
      <c r="Q33" s="1"/>
      <c r="R33" s="1"/>
      <c r="S33" s="1"/>
      <c r="T33" s="1"/>
      <c r="U33" s="1"/>
      <c r="V33" s="1"/>
      <c r="W33" s="1"/>
      <c r="X33" s="1"/>
      <c r="Y33" s="1"/>
      <c r="Z33" s="1"/>
    </row>
    <row r="34" spans="1:26" ht="14.25" customHeight="1">
      <c r="A34" s="1"/>
      <c r="B34" s="1"/>
      <c r="C34" s="1"/>
      <c r="D34" s="1"/>
      <c r="E34" s="1"/>
      <c r="F34" s="1"/>
      <c r="G34" s="1"/>
      <c r="H34" s="16"/>
      <c r="I34" s="16"/>
      <c r="J34" s="16"/>
      <c r="K34" s="1"/>
      <c r="L34" s="1"/>
      <c r="M34" s="1"/>
      <c r="N34" s="14"/>
      <c r="O34" s="1"/>
      <c r="P34" s="1"/>
      <c r="Q34" s="1"/>
      <c r="R34" s="1"/>
      <c r="S34" s="1"/>
      <c r="T34" s="1"/>
      <c r="U34" s="1"/>
      <c r="V34" s="1"/>
      <c r="W34" s="1"/>
      <c r="X34" s="1"/>
      <c r="Y34" s="1"/>
      <c r="Z34" s="1"/>
    </row>
    <row r="35" spans="1:26" ht="14.25" customHeight="1">
      <c r="A35" s="1"/>
      <c r="B35" s="1"/>
      <c r="C35" s="1"/>
      <c r="D35" s="1"/>
      <c r="E35" s="79" t="s">
        <v>26</v>
      </c>
      <c r="F35" s="1"/>
      <c r="G35" s="21" t="s">
        <v>4</v>
      </c>
      <c r="H35" s="26">
        <f>Risk!C3</f>
        <v>2</v>
      </c>
      <c r="I35" s="26">
        <f>Risk!D3</f>
        <v>3.25</v>
      </c>
      <c r="J35" s="26">
        <f>Risk!E3</f>
        <v>6</v>
      </c>
      <c r="K35" s="1"/>
      <c r="L35" s="1"/>
      <c r="M35" s="1"/>
      <c r="N35" s="14"/>
      <c r="O35" s="1"/>
      <c r="P35" s="1"/>
      <c r="Q35" s="1"/>
      <c r="R35" s="1"/>
      <c r="S35" s="1"/>
      <c r="T35" s="1"/>
      <c r="U35" s="1"/>
      <c r="V35" s="1"/>
      <c r="W35" s="1"/>
      <c r="X35" s="1"/>
      <c r="Y35" s="1"/>
      <c r="Z35" s="1"/>
    </row>
    <row r="36" spans="1:26" ht="14.25" customHeight="1">
      <c r="A36" s="1"/>
      <c r="B36" s="1"/>
      <c r="C36" s="1"/>
      <c r="D36" s="1"/>
      <c r="E36" s="80"/>
      <c r="F36" s="1"/>
      <c r="G36" s="27" t="s">
        <v>27</v>
      </c>
      <c r="H36" s="28">
        <f>Risk!C4</f>
        <v>2</v>
      </c>
      <c r="I36" s="28">
        <f>Risk!D4</f>
        <v>2</v>
      </c>
      <c r="J36" s="28">
        <f>Risk!E4</f>
        <v>4</v>
      </c>
      <c r="K36" s="1"/>
      <c r="L36" s="1"/>
      <c r="M36" s="1"/>
      <c r="N36" s="14"/>
      <c r="O36" s="1"/>
      <c r="P36" s="1"/>
      <c r="Q36" s="1"/>
      <c r="R36" s="1"/>
      <c r="S36" s="1"/>
      <c r="T36" s="1"/>
      <c r="U36" s="1"/>
      <c r="V36" s="1"/>
      <c r="W36" s="1"/>
      <c r="X36" s="1"/>
      <c r="Y36" s="1"/>
      <c r="Z36" s="1"/>
    </row>
    <row r="37" spans="1:26" ht="14.25" customHeight="1">
      <c r="A37" s="1"/>
      <c r="B37" s="1"/>
      <c r="C37" s="1"/>
      <c r="D37" s="1"/>
      <c r="E37" s="80"/>
      <c r="F37" s="1"/>
      <c r="G37" s="29" t="s">
        <v>28</v>
      </c>
      <c r="H37" s="28">
        <f>Risk!C5</f>
        <v>2</v>
      </c>
      <c r="I37" s="28">
        <f>Risk!D5</f>
        <v>4</v>
      </c>
      <c r="J37" s="28">
        <f>Risk!E5</f>
        <v>8</v>
      </c>
      <c r="K37" s="1"/>
      <c r="L37" s="1"/>
      <c r="M37" s="1"/>
      <c r="N37" s="1"/>
      <c r="O37" s="1"/>
      <c r="P37" s="1"/>
      <c r="Q37" s="1"/>
      <c r="R37" s="1"/>
      <c r="S37" s="1"/>
      <c r="T37" s="1"/>
      <c r="U37" s="1"/>
      <c r="V37" s="1"/>
      <c r="W37" s="1"/>
      <c r="X37" s="1"/>
      <c r="Y37" s="1"/>
      <c r="Z37" s="1"/>
    </row>
    <row r="38" spans="1:26" ht="14.25" customHeight="1">
      <c r="A38" s="1"/>
      <c r="B38" s="1"/>
      <c r="C38" s="1"/>
      <c r="D38" s="1"/>
      <c r="E38" s="80"/>
      <c r="F38" s="1"/>
      <c r="G38" s="27" t="s">
        <v>29</v>
      </c>
      <c r="H38" s="28">
        <f>Risk!C6</f>
        <v>1</v>
      </c>
      <c r="I38" s="28">
        <f>Risk!D6</f>
        <v>4</v>
      </c>
      <c r="J38" s="28">
        <f>Risk!E6</f>
        <v>4</v>
      </c>
      <c r="K38" s="1"/>
      <c r="L38" s="1"/>
      <c r="M38" s="1"/>
      <c r="N38" s="1"/>
      <c r="O38" s="1"/>
      <c r="P38" s="1"/>
      <c r="Q38" s="1"/>
      <c r="R38" s="1"/>
      <c r="S38" s="1"/>
      <c r="T38" s="1"/>
      <c r="U38" s="1"/>
      <c r="V38" s="1"/>
      <c r="W38" s="1"/>
      <c r="X38" s="1"/>
      <c r="Y38" s="1"/>
      <c r="Z38" s="1"/>
    </row>
    <row r="39" spans="1:26" ht="14.25" customHeight="1">
      <c r="A39" s="1"/>
      <c r="B39" s="1"/>
      <c r="C39" s="1"/>
      <c r="D39" s="1"/>
      <c r="E39" s="81"/>
      <c r="F39" s="1"/>
      <c r="G39" s="30" t="s">
        <v>18</v>
      </c>
      <c r="H39" s="28">
        <f>Risk!C7</f>
        <v>3</v>
      </c>
      <c r="I39" s="28">
        <f>Risk!D7</f>
        <v>3</v>
      </c>
      <c r="J39" s="28">
        <f>Risk!E7</f>
        <v>9</v>
      </c>
      <c r="K39" s="1"/>
      <c r="L39" s="1"/>
      <c r="M39" s="1"/>
      <c r="N39" s="1"/>
      <c r="O39" s="1"/>
      <c r="P39" s="1"/>
      <c r="Q39" s="1"/>
      <c r="R39" s="1"/>
      <c r="S39" s="1"/>
      <c r="T39" s="1"/>
      <c r="U39" s="1"/>
      <c r="V39" s="1"/>
      <c r="W39" s="1"/>
      <c r="X39" s="1"/>
      <c r="Y39" s="1"/>
      <c r="Z39" s="1"/>
    </row>
    <row r="40" spans="1:26" ht="14.25" customHeight="1">
      <c r="A40" s="1"/>
      <c r="B40" s="1"/>
      <c r="C40" s="1"/>
      <c r="D40" s="1"/>
      <c r="E40" s="1"/>
      <c r="F40" s="1"/>
      <c r="G40" s="1"/>
      <c r="H40" s="16"/>
      <c r="I40" s="16"/>
      <c r="J40" s="16"/>
      <c r="K40" s="1"/>
      <c r="L40" s="1"/>
      <c r="M40" s="1"/>
      <c r="N40" s="14"/>
      <c r="O40" s="1"/>
      <c r="P40" s="1"/>
      <c r="Q40" s="1"/>
      <c r="R40" s="1"/>
      <c r="S40" s="1"/>
      <c r="T40" s="1"/>
      <c r="U40" s="1"/>
      <c r="V40" s="1"/>
      <c r="W40" s="1"/>
      <c r="X40" s="1"/>
      <c r="Y40" s="1"/>
      <c r="Z40" s="1"/>
    </row>
    <row r="41" spans="1:26" ht="14.25" customHeight="1">
      <c r="A41" s="1"/>
      <c r="B41" s="1"/>
      <c r="C41" s="1"/>
      <c r="D41" s="1"/>
      <c r="E41" s="79" t="s">
        <v>30</v>
      </c>
      <c r="F41" s="1"/>
      <c r="G41" s="21" t="s">
        <v>4</v>
      </c>
      <c r="H41" s="26">
        <f>Impact!C3</f>
        <v>2.25</v>
      </c>
      <c r="I41" s="26">
        <f>Impact!D3</f>
        <v>2.5</v>
      </c>
      <c r="J41" s="26">
        <f>Impact!E3</f>
        <v>5</v>
      </c>
      <c r="K41" s="1"/>
      <c r="L41" s="1"/>
      <c r="M41" s="1"/>
      <c r="N41" s="14"/>
      <c r="O41" s="1"/>
      <c r="P41" s="1"/>
      <c r="Q41" s="1"/>
      <c r="R41" s="1"/>
      <c r="S41" s="1"/>
      <c r="T41" s="1"/>
      <c r="U41" s="1"/>
      <c r="V41" s="1"/>
      <c r="W41" s="1"/>
      <c r="X41" s="1"/>
      <c r="Y41" s="1"/>
      <c r="Z41" s="1"/>
    </row>
    <row r="42" spans="1:26" ht="14.25" customHeight="1">
      <c r="A42" s="1"/>
      <c r="B42" s="1"/>
      <c r="C42" s="1"/>
      <c r="D42" s="1"/>
      <c r="E42" s="80"/>
      <c r="F42" s="1"/>
      <c r="G42" s="29" t="str">
        <f>Impact!B4</f>
        <v>Impact Metrics</v>
      </c>
      <c r="H42" s="28">
        <f>Impact!C4</f>
        <v>2</v>
      </c>
      <c r="I42" s="28">
        <f>Impact!D4</f>
        <v>1</v>
      </c>
      <c r="J42" s="28">
        <f>Impact!E4</f>
        <v>2</v>
      </c>
      <c r="K42" s="1"/>
      <c r="L42" s="1"/>
      <c r="M42" s="1"/>
      <c r="N42" s="14"/>
      <c r="O42" s="1"/>
      <c r="P42" s="1"/>
      <c r="Q42" s="1"/>
      <c r="R42" s="1"/>
      <c r="S42" s="1"/>
      <c r="T42" s="1"/>
      <c r="U42" s="1"/>
      <c r="V42" s="1"/>
      <c r="W42" s="1"/>
      <c r="X42" s="1"/>
      <c r="Y42" s="1"/>
      <c r="Z42" s="1"/>
    </row>
    <row r="43" spans="1:26" ht="14.25" customHeight="1">
      <c r="A43" s="1"/>
      <c r="B43" s="1"/>
      <c r="C43" s="1"/>
      <c r="D43" s="1"/>
      <c r="E43" s="80"/>
      <c r="F43" s="1"/>
      <c r="G43" s="27" t="str">
        <f>Impact!B5</f>
        <v>Technology</v>
      </c>
      <c r="H43" s="28">
        <f>Impact!C5</f>
        <v>3</v>
      </c>
      <c r="I43" s="28">
        <f>Impact!D5</f>
        <v>2</v>
      </c>
      <c r="J43" s="28">
        <f>Impact!E5</f>
        <v>6</v>
      </c>
      <c r="K43" s="1"/>
      <c r="L43" s="1"/>
      <c r="M43" s="1"/>
      <c r="N43" s="1"/>
      <c r="O43" s="1"/>
      <c r="P43" s="1"/>
      <c r="Q43" s="1"/>
      <c r="R43" s="1"/>
      <c r="S43" s="1"/>
      <c r="T43" s="1"/>
      <c r="U43" s="1"/>
      <c r="V43" s="1"/>
      <c r="W43" s="1"/>
      <c r="X43" s="1"/>
      <c r="Y43" s="1"/>
      <c r="Z43" s="1"/>
    </row>
    <row r="44" spans="1:26" ht="14.25" customHeight="1">
      <c r="A44" s="1"/>
      <c r="B44" s="1"/>
      <c r="C44" s="1"/>
      <c r="D44" s="1"/>
      <c r="E44" s="80"/>
      <c r="F44" s="1"/>
      <c r="G44" s="29" t="str">
        <f>Impact!B6</f>
        <v>Data and Analytics</v>
      </c>
      <c r="H44" s="28">
        <f>Impact!C6</f>
        <v>1</v>
      </c>
      <c r="I44" s="28">
        <f>Impact!D6</f>
        <v>4</v>
      </c>
      <c r="J44" s="28">
        <f>Impact!E6</f>
        <v>4</v>
      </c>
      <c r="K44" s="1"/>
      <c r="L44" s="1"/>
      <c r="M44" s="1"/>
      <c r="N44" s="1"/>
      <c r="O44" s="1"/>
      <c r="P44" s="1"/>
      <c r="Q44" s="1"/>
      <c r="R44" s="1"/>
      <c r="S44" s="1"/>
      <c r="T44" s="1"/>
      <c r="U44" s="1"/>
      <c r="V44" s="1"/>
      <c r="W44" s="1"/>
      <c r="X44" s="1"/>
      <c r="Y44" s="1"/>
      <c r="Z44" s="1"/>
    </row>
    <row r="45" spans="1:26" ht="14.25" customHeight="1">
      <c r="A45" s="1"/>
      <c r="B45" s="1"/>
      <c r="C45" s="1"/>
      <c r="D45" s="1"/>
      <c r="E45" s="81"/>
      <c r="F45" s="1"/>
      <c r="G45" s="31" t="str">
        <f>Impact!B7</f>
        <v>Design</v>
      </c>
      <c r="H45" s="28">
        <f>Impact!C7</f>
        <v>3</v>
      </c>
      <c r="I45" s="28">
        <f>Impact!D7</f>
        <v>3</v>
      </c>
      <c r="J45" s="28">
        <f>Impact!E7</f>
        <v>9</v>
      </c>
      <c r="K45" s="1"/>
      <c r="L45" s="1"/>
      <c r="M45" s="1"/>
      <c r="N45" s="1"/>
      <c r="O45" s="1"/>
      <c r="P45" s="1"/>
      <c r="Q45" s="1"/>
      <c r="R45" s="1"/>
      <c r="S45" s="1"/>
      <c r="T45" s="1"/>
      <c r="U45" s="1"/>
      <c r="V45" s="1"/>
      <c r="W45" s="1"/>
      <c r="X45" s="1"/>
      <c r="Y45" s="1"/>
      <c r="Z45" s="1"/>
    </row>
    <row r="46" spans="1:26" ht="14.2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4.2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4.2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4.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4.2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4.2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4.2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4.2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4.2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4.2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4.2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4.2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4.2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4.25" hidden="1"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4.25" hidden="1"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4.25" hidden="1"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4.25" hidden="1"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4.25" hidden="1"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4.25" hidden="1"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4.2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4.25" hidden="1"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4.25" hidden="1"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4.25" hidden="1"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4.25" hidden="1"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4.25" hidden="1"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4.25" hidden="1"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4.25" hidden="1"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4.25" hidden="1"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4.25" hidden="1"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4.25" hidden="1"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4.25" hidden="1"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4.25" hidden="1"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4.25" hidden="1"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4.25" hidden="1"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4.25" hidden="1"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4.25" hidden="1"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4.25" hidden="1"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4.25" hidden="1"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4.2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4.2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4.25" hidden="1"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4.25" hidden="1"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4.25" hidden="1"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4.25" hidden="1"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4.2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4.2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4.25" hidden="1"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4.25" hidden="1"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4.25" hidden="1"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4.25" hidden="1"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4.2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4.2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4.2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4.2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4.2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4.2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4.2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4.2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4.2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4.2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4.25" hidden="1"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4.2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4.2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4.2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4.2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4.2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4.2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4.2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4.2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4.2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4.2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4.2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4.2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4.2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4.2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4.2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4.2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4.2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4.2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4.2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4.2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4.2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4.2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4.2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4.2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4.2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4.2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4.2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4.2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4.2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4.2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4.2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4.2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4.2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4.2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4.2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4.2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4.2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4.2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4.2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4.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4.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4.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4.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4.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4.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4.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4.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4.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4.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4.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4.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4.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4.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4.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4.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4.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4.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4.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4.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4.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4.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4.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4.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4.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4.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4.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4.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4.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4.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4.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4.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4.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4.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4.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4.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4.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4.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4.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4.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4.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4.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4.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4.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4.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4.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4.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4.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4.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4.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4.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4.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4.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4.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4.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4.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4.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4.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4.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4.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4.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4.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4.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4.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4.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4.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4.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4.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4.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4.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4.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4.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4.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4.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4.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4.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4.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4.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4.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4.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4.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4.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4.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4.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4.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4.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4.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4.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4.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4.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4.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4.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4.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4.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4.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4.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4.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4.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4.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4.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4.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4.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4.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4.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4.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4.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4.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4.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4.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4.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4.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4.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4.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4.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4.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4.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4.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4.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4.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4.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4.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4.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4.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4.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4.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4.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4.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4.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4.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4.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4.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4.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4.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4.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4.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4.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4.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4.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4.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4.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4.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4.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4.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4.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4.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4.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4.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4.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4.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4.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4.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4.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4.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4.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4.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4.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4.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4.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4.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4.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4.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4.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4.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4.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4.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4.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4.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4.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4.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4.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4.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4.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4.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4.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4.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4.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4.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4.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4.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4.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4.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4.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4.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4.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4.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4.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4.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4.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4.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4.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4.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4.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4.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4.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4.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4.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4.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4.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4.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4.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4.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4.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4.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4.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4.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4.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4.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4.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4.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4.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4.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4.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4.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4.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4.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4.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4.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4.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4.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4.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4.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4.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4.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4.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4.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4.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4.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4.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4.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4.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4.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4.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4.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4.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4.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4.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4.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4.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4.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4.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4.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4.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4.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4.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4.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4.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4.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4.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4.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4.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4.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4.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4.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4.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4.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4.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4.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4.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4.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4.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4.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4.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4.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4.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4.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4.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4.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4.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4.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4.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4.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4.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4.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4.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4.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4.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4.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4.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4.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4.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4.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4.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4.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4.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4.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4.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4.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4.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4.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4.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4.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4.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4.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4.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4.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4.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4.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4.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4.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4.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4.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4.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4.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4.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4.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4.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4.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4.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4.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4.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4.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4.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4.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4.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4.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4.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4.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4.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4.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4.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4.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4.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4.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4.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4.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4.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4.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4.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4.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4.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4.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4.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4.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4.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4.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4.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4.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4.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4.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4.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4.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4.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4.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4.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4.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4.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4.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4.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4.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4.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4.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4.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4.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4.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4.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4.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4.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4.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4.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4.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4.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4.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4.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4.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4.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4.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4.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4.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4.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4.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4.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4.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4.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4.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4.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4.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4.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4.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4.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4.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4.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4.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4.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4.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4.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4.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4.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4.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4.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4.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4.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4.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4.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4.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4.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4.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4.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4.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4.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4.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4.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4.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4.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4.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4.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4.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4.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4.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4.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4.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4.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4.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4.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4.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4.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4.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4.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4.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4.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4.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4.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4.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4.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4.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4.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4.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4.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4.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4.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4.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4.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4.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4.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4.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4.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4.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4.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4.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4.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4.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4.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4.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4.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4.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4.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4.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4.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4.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4.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4.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4.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4.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4.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4.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4.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4.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4.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4.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4.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4.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4.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4.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4.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4.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4.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4.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4.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4.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4.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4.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4.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4.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4.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4.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4.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4.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4.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4.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4.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4.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4.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4.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4.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4.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4.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4.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4.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4.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4.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4.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4.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4.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4.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4.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4.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4.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4.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4.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4.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4.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4.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4.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4.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4.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4.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4.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4.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4.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4.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4.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4.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4.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4.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4.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4.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4.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4.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4.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4.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4.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4.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4.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4.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4.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4.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4.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4.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4.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4.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4.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4.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4.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4.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4.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4.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4.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4.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4.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4.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4.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4.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4.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4.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4.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4.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4.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4.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4.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4.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4.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4.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4.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4.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4.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4.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4.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4.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4.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4.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4.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4.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4.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4.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4.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4.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4.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4.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4.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4.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4.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4.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4.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4.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4.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4.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4.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4.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4.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4.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4.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4.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4.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4.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4.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4.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4.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4.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4.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4.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4.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4.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4.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4.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4.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4.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4.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4.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4.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4.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4.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4.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4.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4.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4.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4.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4.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4.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4.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4.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4.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4.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4.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4.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4.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4.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4.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4.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4.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4.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4.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4.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4.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4.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4.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4.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4.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4.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4.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4.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4.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4.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4.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4.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4.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4.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4.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4.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4.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4.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4.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4.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4.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4.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4.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4.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4.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4.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4.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4.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4.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4.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4.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4.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4.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4.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4.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4.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4.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4.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4.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4.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4.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4.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4.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4.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4.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4.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4.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4.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4.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4.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4.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4.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4.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4.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4.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4.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4.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4.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4.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4.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4.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4.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4.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4.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4.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4.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4.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4.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4.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4.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4.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4.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4.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4.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4.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4.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4.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4.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4.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4.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4.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4.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4.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4.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4.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4.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4.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4.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4.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4.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4.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4.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4.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4.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4.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4.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4.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4.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4.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4.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4.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4.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4.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4.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4.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4.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4.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4.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4.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4.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4.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4.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4.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4.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4.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4.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4.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4.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4.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4.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4.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4.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4.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4.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4.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4.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4.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4.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4.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4.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4.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4.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4.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4.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4.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4.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4.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4.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4.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4.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4.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4.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4.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4.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4.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4.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4.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4.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4.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4.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4.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4.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4.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4.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4.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4.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4.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4.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4.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4.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4.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4.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4.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4.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4.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4.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4.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4.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4.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4.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4.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4.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4.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4.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4.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4.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4.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4.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4.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4.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4.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4.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4.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4.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4.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4.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4.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4.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4.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4.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4.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4.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4.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4.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4.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4.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4.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4.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4.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4.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4.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4.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4.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4.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4.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4.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4.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4.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4.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4.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4.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4.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4.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4.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4.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4.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4.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4.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4.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4.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4.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4.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4.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4.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4.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4.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4.2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4.2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4.2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4.2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4.2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4.2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7">
    <mergeCell ref="E35:E39"/>
    <mergeCell ref="E41:E45"/>
    <mergeCell ref="E3:E7"/>
    <mergeCell ref="E9:E14"/>
    <mergeCell ref="E16:E21"/>
    <mergeCell ref="E23:E28"/>
    <mergeCell ref="E30:E33"/>
  </mergeCells>
  <conditionalFormatting sqref="H22">
    <cfRule type="colorScale" priority="1">
      <colorScale>
        <cfvo type="formula" val="1"/>
        <cfvo type="formula" val="2"/>
        <cfvo type="formula" val="3"/>
        <color rgb="FF6DCC32"/>
        <color rgb="FFFFE600"/>
        <color rgb="FFC00000"/>
      </colorScale>
    </cfRule>
  </conditionalFormatting>
  <conditionalFormatting sqref="H29">
    <cfRule type="colorScale" priority="2">
      <colorScale>
        <cfvo type="formula" val="1"/>
        <cfvo type="formula" val="3"/>
        <cfvo type="formula" val="5"/>
        <color rgb="FF6DCC32"/>
        <color rgb="FFFFE600"/>
        <color rgb="FFC00000"/>
      </colorScale>
    </cfRule>
  </conditionalFormatting>
  <conditionalFormatting sqref="H34">
    <cfRule type="colorScale" priority="3">
      <colorScale>
        <cfvo type="formula" val="1"/>
        <cfvo type="formula" val="3"/>
        <cfvo type="formula" val="5"/>
        <color rgb="FF6DCC32"/>
        <color rgb="FFFFE600"/>
        <color rgb="FFC00000"/>
      </colorScale>
    </cfRule>
  </conditionalFormatting>
  <conditionalFormatting sqref="H40">
    <cfRule type="colorScale" priority="4">
      <colorScale>
        <cfvo type="formula" val="1"/>
        <cfvo type="formula" val="3"/>
        <cfvo type="formula" val="5"/>
        <color rgb="FF6DCC32"/>
        <color rgb="FFFFE600"/>
        <color rgb="FFC00000"/>
      </colorScale>
    </cfRule>
  </conditionalFormatting>
  <conditionalFormatting sqref="I3:I7 I9:I14 I16:I19 I23:I28 I30:I33 I35:I39 I41:I45">
    <cfRule type="colorScale" priority="5">
      <colorScale>
        <cfvo type="formula" val="1"/>
        <cfvo type="formula" val="2.4"/>
        <cfvo type="formula" val="4"/>
        <color rgb="FF6DCC32"/>
        <color rgb="FFFFE600"/>
        <color rgb="FFC00000"/>
      </colorScale>
    </cfRule>
  </conditionalFormatting>
  <conditionalFormatting sqref="J3:J7 J9:J14 J16:J19 J23:J28 J30:J33 J35:J39 J41:J45">
    <cfRule type="colorScale" priority="6">
      <colorScale>
        <cfvo type="formula" val="1"/>
        <cfvo type="formula" val="8.5"/>
        <cfvo type="formula" val="16"/>
        <color rgb="FF6DCC32"/>
        <color rgb="FFFFE600"/>
        <color rgb="FFC00000"/>
      </colorScale>
    </cfRule>
  </conditionalFormatting>
  <conditionalFormatting sqref="H3:H7 H9:H14 H16:H19 H23:H28 H30:H33 H35:H39 H41:H45">
    <cfRule type="colorScale" priority="7">
      <colorScale>
        <cfvo type="formula" val="1"/>
        <cfvo type="formula" val="2.5"/>
        <cfvo type="formula" val="4"/>
        <color rgb="FF6DCC32"/>
        <color rgb="FFFFE600"/>
        <color rgb="FFC00000"/>
      </colorScale>
    </cfRule>
  </conditionalFormatting>
  <conditionalFormatting sqref="I20">
    <cfRule type="colorScale" priority="8">
      <colorScale>
        <cfvo type="formula" val="1"/>
        <cfvo type="formula" val="2.4"/>
        <cfvo type="formula" val="4"/>
        <color rgb="FF6DCC32"/>
        <color rgb="FFFFE600"/>
        <color rgb="FFC00000"/>
      </colorScale>
    </cfRule>
  </conditionalFormatting>
  <conditionalFormatting sqref="J20">
    <cfRule type="colorScale" priority="9">
      <colorScale>
        <cfvo type="formula" val="1"/>
        <cfvo type="formula" val="8.5"/>
        <cfvo type="formula" val="16"/>
        <color rgb="FF6DCC32"/>
        <color rgb="FFFFE600"/>
        <color rgb="FFC00000"/>
      </colorScale>
    </cfRule>
  </conditionalFormatting>
  <conditionalFormatting sqref="H20">
    <cfRule type="colorScale" priority="10">
      <colorScale>
        <cfvo type="formula" val="1"/>
        <cfvo type="formula" val="2.5"/>
        <cfvo type="formula" val="4"/>
        <color rgb="FF6DCC32"/>
        <color rgb="FFFFE600"/>
        <color rgb="FFC00000"/>
      </colorScale>
    </cfRule>
  </conditionalFormatting>
  <conditionalFormatting sqref="I21">
    <cfRule type="colorScale" priority="11">
      <colorScale>
        <cfvo type="formula" val="1"/>
        <cfvo type="formula" val="2.4"/>
        <cfvo type="formula" val="4"/>
        <color rgb="FF6DCC32"/>
        <color rgb="FFFFE600"/>
        <color rgb="FFC00000"/>
      </colorScale>
    </cfRule>
  </conditionalFormatting>
  <conditionalFormatting sqref="J21">
    <cfRule type="colorScale" priority="12">
      <colorScale>
        <cfvo type="formula" val="1"/>
        <cfvo type="formula" val="8.5"/>
        <cfvo type="formula" val="16"/>
        <color rgb="FF6DCC32"/>
        <color rgb="FFFFE600"/>
        <color rgb="FFC00000"/>
      </colorScale>
    </cfRule>
  </conditionalFormatting>
  <conditionalFormatting sqref="H21">
    <cfRule type="colorScale" priority="13">
      <colorScale>
        <cfvo type="formula" val="1"/>
        <cfvo type="formula" val="2.5"/>
        <cfvo type="formula" val="4"/>
        <color rgb="FF6DCC32"/>
        <color rgb="FFFFE600"/>
        <color rgb="FFC00000"/>
      </colorScale>
    </cfRule>
  </conditionalFormatting>
  <pageMargins left="0.7" right="0.7" top="0.75" bottom="0.75" header="0" footer="0"/>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workbookViewId="0"/>
  </sheetViews>
  <sheetFormatPr defaultColWidth="14.40625" defaultRowHeight="15" customHeight="1"/>
  <cols>
    <col min="1" max="26" width="8.6796875" customWidth="1"/>
  </cols>
  <sheetData>
    <row r="1" spans="1:26" ht="14.25" customHeight="1">
      <c r="A1" s="82" t="s">
        <v>31</v>
      </c>
      <c r="B1" s="83"/>
      <c r="C1" s="83"/>
      <c r="D1" s="83"/>
      <c r="E1" s="83"/>
      <c r="F1" s="83"/>
      <c r="G1" s="83"/>
      <c r="H1" s="83"/>
      <c r="I1" s="83"/>
      <c r="J1" s="83"/>
      <c r="K1" s="83"/>
      <c r="L1" s="83"/>
      <c r="M1" s="83"/>
      <c r="N1" s="83"/>
      <c r="O1" s="83"/>
      <c r="P1" s="83"/>
      <c r="Q1" s="84"/>
      <c r="R1" s="32"/>
      <c r="S1" s="32"/>
      <c r="T1" s="32"/>
      <c r="U1" s="32"/>
      <c r="V1" s="32"/>
      <c r="W1" s="32"/>
      <c r="X1" s="32"/>
      <c r="Y1" s="32"/>
      <c r="Z1" s="32"/>
    </row>
    <row r="2" spans="1:26" ht="14.25" customHeight="1">
      <c r="A2" s="33"/>
      <c r="B2" s="33"/>
      <c r="C2" s="33"/>
      <c r="D2" s="33"/>
      <c r="E2" s="33"/>
      <c r="F2" s="33"/>
      <c r="G2" s="33"/>
      <c r="H2" s="33"/>
      <c r="I2" s="33"/>
      <c r="J2" s="33"/>
      <c r="K2" s="33"/>
      <c r="L2" s="33"/>
      <c r="M2" s="33"/>
      <c r="N2" s="33"/>
      <c r="O2" s="33"/>
      <c r="P2" s="33"/>
      <c r="Q2" s="33"/>
      <c r="R2" s="34"/>
      <c r="S2" s="34"/>
      <c r="T2" s="34"/>
      <c r="U2" s="34"/>
      <c r="V2" s="34"/>
      <c r="W2" s="34"/>
      <c r="X2" s="34"/>
      <c r="Y2" s="34"/>
      <c r="Z2" s="34"/>
    </row>
    <row r="3" spans="1:26" ht="50.25" customHeight="1">
      <c r="A3" s="85" t="s">
        <v>32</v>
      </c>
      <c r="B3" s="83"/>
      <c r="C3" s="83"/>
      <c r="D3" s="83"/>
      <c r="E3" s="83"/>
      <c r="F3" s="83"/>
      <c r="G3" s="83"/>
      <c r="H3" s="83"/>
      <c r="I3" s="83"/>
      <c r="J3" s="83"/>
      <c r="K3" s="83"/>
      <c r="L3" s="83"/>
      <c r="M3" s="83"/>
      <c r="N3" s="83"/>
      <c r="O3" s="83"/>
      <c r="P3" s="83"/>
      <c r="Q3" s="84"/>
      <c r="R3" s="1"/>
      <c r="S3" s="1"/>
      <c r="T3" s="1"/>
      <c r="U3" s="1"/>
      <c r="V3" s="1"/>
      <c r="W3" s="1"/>
      <c r="X3" s="1"/>
      <c r="Y3" s="1"/>
      <c r="Z3" s="1"/>
    </row>
    <row r="4" spans="1:26" ht="14.25" customHeight="1">
      <c r="A4" s="1"/>
      <c r="B4" s="1"/>
      <c r="C4" s="1"/>
      <c r="D4" s="1"/>
      <c r="E4" s="1"/>
      <c r="F4" s="1"/>
      <c r="G4" s="1"/>
      <c r="H4" s="1"/>
      <c r="I4" s="1"/>
      <c r="J4" s="1"/>
      <c r="K4" s="1"/>
      <c r="L4" s="1"/>
      <c r="M4" s="1"/>
      <c r="N4" s="1"/>
      <c r="O4" s="1"/>
      <c r="P4" s="1"/>
      <c r="Q4" s="1"/>
      <c r="R4" s="1"/>
      <c r="S4" s="1"/>
      <c r="T4" s="1"/>
      <c r="U4" s="1"/>
      <c r="V4" s="1"/>
      <c r="W4" s="1"/>
      <c r="X4" s="1"/>
      <c r="Y4" s="1"/>
      <c r="Z4" s="1"/>
    </row>
    <row r="5" spans="1:26" ht="14.25" customHeight="1">
      <c r="A5" s="1"/>
      <c r="B5" s="1"/>
      <c r="C5" s="1"/>
      <c r="D5" s="1"/>
      <c r="E5" s="1"/>
      <c r="F5" s="1"/>
      <c r="G5" s="1"/>
      <c r="H5" s="1"/>
      <c r="I5" s="1"/>
      <c r="J5" s="1"/>
      <c r="K5" s="1"/>
      <c r="L5" s="1"/>
      <c r="M5" s="1"/>
      <c r="N5" s="1"/>
      <c r="O5" s="1"/>
      <c r="P5" s="1"/>
      <c r="Q5" s="1"/>
      <c r="R5" s="1"/>
      <c r="S5" s="1"/>
      <c r="T5" s="1"/>
      <c r="U5" s="1"/>
      <c r="V5" s="1"/>
      <c r="W5" s="1"/>
      <c r="X5" s="1"/>
      <c r="Y5" s="1"/>
      <c r="Z5" s="1"/>
    </row>
    <row r="6" spans="1:26" ht="14.25" customHeight="1">
      <c r="A6" s="1"/>
      <c r="B6" s="1"/>
      <c r="C6" s="1"/>
      <c r="D6" s="1"/>
      <c r="E6" s="1"/>
      <c r="F6" s="1"/>
      <c r="G6" s="1"/>
      <c r="H6" s="1"/>
      <c r="I6" s="1"/>
      <c r="J6" s="1"/>
      <c r="K6" s="1"/>
      <c r="L6" s="1"/>
      <c r="M6" s="1"/>
      <c r="N6" s="1"/>
      <c r="O6" s="1"/>
      <c r="P6" s="1"/>
      <c r="Q6" s="1"/>
      <c r="R6" s="1"/>
      <c r="S6" s="1"/>
      <c r="T6" s="1"/>
      <c r="U6" s="1"/>
      <c r="V6" s="1"/>
      <c r="W6" s="1"/>
      <c r="X6" s="1"/>
      <c r="Y6" s="1"/>
      <c r="Z6" s="1"/>
    </row>
    <row r="7" spans="1:26" ht="14.25" customHeight="1">
      <c r="A7" s="1"/>
      <c r="B7" s="1"/>
      <c r="C7" s="1"/>
      <c r="D7" s="1"/>
      <c r="E7" s="1"/>
      <c r="F7" s="1"/>
      <c r="G7" s="1"/>
      <c r="H7" s="1"/>
      <c r="I7" s="1"/>
      <c r="J7" s="1"/>
      <c r="K7" s="1"/>
      <c r="L7" s="1"/>
      <c r="M7" s="1"/>
      <c r="N7" s="1"/>
      <c r="O7" s="1"/>
      <c r="P7" s="1"/>
      <c r="Q7" s="1"/>
      <c r="R7" s="1"/>
      <c r="S7" s="1"/>
      <c r="T7" s="1"/>
      <c r="U7" s="1"/>
      <c r="V7" s="1"/>
      <c r="W7" s="1"/>
      <c r="X7" s="1"/>
      <c r="Y7" s="1"/>
      <c r="Z7" s="1"/>
    </row>
    <row r="8" spans="1:26" ht="14.25" customHeight="1">
      <c r="A8" s="1"/>
      <c r="B8" s="1"/>
      <c r="C8" s="1"/>
      <c r="D8" s="1"/>
      <c r="E8" s="1"/>
      <c r="F8" s="1"/>
      <c r="G8" s="1"/>
      <c r="H8" s="1"/>
      <c r="I8" s="1"/>
      <c r="J8" s="1"/>
      <c r="K8" s="1"/>
      <c r="L8" s="1"/>
      <c r="M8" s="1"/>
      <c r="N8" s="1"/>
      <c r="O8" s="1"/>
      <c r="P8" s="1"/>
      <c r="Q8" s="1"/>
      <c r="R8" s="1"/>
      <c r="S8" s="1"/>
      <c r="T8" s="1"/>
      <c r="U8" s="1"/>
      <c r="V8" s="1"/>
      <c r="W8" s="1"/>
      <c r="X8" s="1"/>
      <c r="Y8" s="1"/>
      <c r="Z8" s="1"/>
    </row>
    <row r="9" spans="1:26" ht="14.25" customHeight="1">
      <c r="A9" s="1"/>
      <c r="B9" s="1"/>
      <c r="C9" s="1"/>
      <c r="D9" s="1"/>
      <c r="E9" s="1"/>
      <c r="F9" s="1"/>
      <c r="G9" s="1"/>
      <c r="H9" s="1"/>
      <c r="I9" s="1"/>
      <c r="J9" s="1"/>
      <c r="K9" s="1"/>
      <c r="L9" s="1"/>
      <c r="M9" s="1"/>
      <c r="N9" s="1"/>
      <c r="O9" s="1"/>
      <c r="P9" s="1"/>
      <c r="Q9" s="1"/>
      <c r="R9" s="1"/>
      <c r="S9" s="1"/>
      <c r="T9" s="1"/>
      <c r="U9" s="1"/>
      <c r="V9" s="1"/>
      <c r="W9" s="1"/>
      <c r="X9" s="1"/>
      <c r="Y9" s="1"/>
      <c r="Z9" s="1"/>
    </row>
    <row r="10" spans="1:26" ht="14.2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4.25" customHeight="1">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4.25" customHeight="1">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4.2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4.2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4.2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4.2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4.2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4.2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4.2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4.2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4.2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4.2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4.2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4.2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4.2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4.2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4.2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4.2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4.2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4.2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4.2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4.2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4.2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4.2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4.2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4.2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4.2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4.2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4.2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4.2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4.2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4.2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4.2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4.2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4.2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4.2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4.2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4.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4.2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4.2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4.2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4.2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4.2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4.2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4.2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4.2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4.2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4.2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4.2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4.2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4.2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4.2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4.2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4.2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4.2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4.25" customHeight="1"/>
    <row r="68" spans="1:26" ht="14.25" customHeight="1"/>
    <row r="69" spans="1:26" ht="14.25" customHeight="1"/>
    <row r="70" spans="1:26" ht="14.25" customHeight="1"/>
    <row r="71" spans="1:26" ht="14.25" customHeight="1"/>
    <row r="72" spans="1:26" ht="14.25" customHeight="1"/>
    <row r="73" spans="1:26" ht="14.25" customHeight="1"/>
    <row r="74" spans="1:26" ht="14.25" customHeight="1"/>
    <row r="75" spans="1:26" ht="14.25" customHeight="1"/>
    <row r="76" spans="1:26" ht="14.25" customHeight="1"/>
    <row r="77" spans="1:26" ht="14.25" customHeight="1"/>
    <row r="78" spans="1:26" ht="14.25" customHeight="1"/>
    <row r="79" spans="1:26" ht="14.25" customHeight="1"/>
    <row r="80" spans="1:26"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2">
    <mergeCell ref="A1:Q1"/>
    <mergeCell ref="A3:Q3"/>
  </mergeCells>
  <pageMargins left="0.7" right="0.7" top="0.75" bottom="0.75" header="0" footer="0"/>
  <pageSetup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A1000"/>
  <sheetViews>
    <sheetView workbookViewId="0"/>
  </sheetViews>
  <sheetFormatPr defaultColWidth="14.40625" defaultRowHeight="15" customHeight="1"/>
  <cols>
    <col min="1" max="2" width="8.86328125" customWidth="1"/>
    <col min="3" max="3" width="31" customWidth="1"/>
    <col min="4" max="4" width="30.6796875" customWidth="1"/>
    <col min="5" max="5" width="30.26953125" customWidth="1"/>
    <col min="6" max="6" width="31.86328125" customWidth="1"/>
    <col min="7" max="7" width="37.54296875" customWidth="1"/>
    <col min="8" max="27" width="8.86328125" customWidth="1"/>
  </cols>
  <sheetData>
    <row r="1" spans="1:27" ht="14.25" customHeight="1">
      <c r="A1" s="34"/>
      <c r="B1" s="82" t="s">
        <v>33</v>
      </c>
      <c r="C1" s="83"/>
      <c r="D1" s="83"/>
      <c r="E1" s="83"/>
      <c r="F1" s="83"/>
      <c r="G1" s="84"/>
      <c r="H1" s="34"/>
      <c r="I1" s="34"/>
      <c r="J1" s="34"/>
      <c r="K1" s="34"/>
      <c r="L1" s="34"/>
      <c r="M1" s="34"/>
      <c r="N1" s="34"/>
      <c r="O1" s="34"/>
      <c r="P1" s="34"/>
      <c r="Q1" s="34"/>
      <c r="R1" s="34"/>
      <c r="S1" s="34"/>
      <c r="T1" s="34"/>
      <c r="U1" s="34"/>
      <c r="V1" s="34"/>
      <c r="W1" s="34"/>
      <c r="X1" s="34"/>
      <c r="Y1" s="34"/>
      <c r="Z1" s="34"/>
      <c r="AA1" s="34"/>
    </row>
    <row r="2" spans="1:27" ht="14.25" customHeight="1">
      <c r="A2" s="1"/>
      <c r="B2" s="1"/>
      <c r="C2" s="1"/>
      <c r="D2" s="1"/>
      <c r="E2" s="1"/>
      <c r="F2" s="1"/>
      <c r="G2" s="1"/>
      <c r="H2" s="1"/>
      <c r="I2" s="1"/>
      <c r="J2" s="1"/>
      <c r="K2" s="1"/>
      <c r="L2" s="1"/>
      <c r="M2" s="1"/>
      <c r="N2" s="1"/>
      <c r="O2" s="1"/>
      <c r="P2" s="1"/>
      <c r="Q2" s="1"/>
      <c r="R2" s="1"/>
      <c r="S2" s="1"/>
      <c r="T2" s="1"/>
      <c r="U2" s="1"/>
      <c r="V2" s="1"/>
      <c r="W2" s="1"/>
      <c r="X2" s="1"/>
      <c r="Y2" s="1"/>
      <c r="Z2" s="1"/>
      <c r="AA2" s="1"/>
    </row>
    <row r="3" spans="1:27" ht="14.25" customHeight="1">
      <c r="A3" s="1"/>
      <c r="B3" s="35" t="s">
        <v>34</v>
      </c>
      <c r="C3" s="1"/>
      <c r="D3" s="1"/>
      <c r="E3" s="1"/>
      <c r="F3" s="1"/>
      <c r="G3" s="1"/>
      <c r="H3" s="1"/>
      <c r="I3" s="1"/>
      <c r="J3" s="1"/>
      <c r="K3" s="1"/>
      <c r="L3" s="1"/>
      <c r="M3" s="1"/>
      <c r="N3" s="1"/>
      <c r="O3" s="1"/>
      <c r="P3" s="1"/>
      <c r="Q3" s="1"/>
      <c r="R3" s="1"/>
      <c r="S3" s="1"/>
      <c r="T3" s="1"/>
      <c r="U3" s="1"/>
      <c r="V3" s="1"/>
      <c r="W3" s="1"/>
      <c r="X3" s="1"/>
      <c r="Y3" s="1"/>
      <c r="Z3" s="1"/>
      <c r="AA3" s="1"/>
    </row>
    <row r="4" spans="1:27" ht="14.25" customHeight="1">
      <c r="A4" s="1"/>
      <c r="B4" s="36"/>
      <c r="C4" s="1"/>
      <c r="D4" s="1"/>
      <c r="E4" s="1"/>
      <c r="F4" s="1"/>
      <c r="G4" s="1"/>
      <c r="H4" s="1"/>
      <c r="I4" s="1"/>
      <c r="J4" s="1"/>
      <c r="K4" s="1"/>
      <c r="L4" s="1"/>
      <c r="M4" s="1"/>
      <c r="N4" s="1"/>
      <c r="O4" s="1"/>
      <c r="P4" s="1"/>
      <c r="Q4" s="1"/>
      <c r="R4" s="1"/>
      <c r="S4" s="1"/>
      <c r="T4" s="1"/>
      <c r="U4" s="1"/>
      <c r="V4" s="1"/>
      <c r="W4" s="1"/>
      <c r="X4" s="1"/>
      <c r="Y4" s="1"/>
      <c r="Z4" s="1"/>
      <c r="AA4" s="1"/>
    </row>
    <row r="5" spans="1:27" ht="14.25" customHeight="1">
      <c r="A5" s="1"/>
      <c r="B5" s="37" t="s">
        <v>35</v>
      </c>
      <c r="C5" s="1"/>
      <c r="D5" s="1"/>
      <c r="E5" s="1"/>
      <c r="F5" s="1"/>
      <c r="G5" s="1"/>
      <c r="H5" s="1"/>
      <c r="I5" s="1"/>
      <c r="J5" s="1"/>
      <c r="K5" s="1"/>
      <c r="L5" s="1"/>
      <c r="M5" s="1"/>
      <c r="N5" s="1"/>
      <c r="O5" s="1"/>
      <c r="P5" s="1"/>
      <c r="Q5" s="1"/>
      <c r="R5" s="1"/>
      <c r="S5" s="1"/>
      <c r="T5" s="1"/>
      <c r="U5" s="1"/>
      <c r="V5" s="1"/>
      <c r="W5" s="1"/>
      <c r="X5" s="1"/>
      <c r="Y5" s="1"/>
      <c r="Z5" s="1"/>
      <c r="AA5" s="1"/>
    </row>
    <row r="6" spans="1:27" ht="14.25" customHeight="1">
      <c r="A6" s="1"/>
      <c r="B6" s="37"/>
      <c r="C6" s="1"/>
      <c r="D6" s="1"/>
      <c r="E6" s="1"/>
      <c r="F6" s="1"/>
      <c r="G6" s="1"/>
      <c r="H6" s="1"/>
      <c r="I6" s="1"/>
      <c r="J6" s="1"/>
      <c r="K6" s="1"/>
      <c r="L6" s="1"/>
      <c r="M6" s="1"/>
      <c r="N6" s="1"/>
      <c r="O6" s="1"/>
      <c r="P6" s="1"/>
      <c r="Q6" s="1"/>
      <c r="R6" s="1"/>
      <c r="S6" s="1"/>
      <c r="T6" s="1"/>
      <c r="U6" s="1"/>
      <c r="V6" s="1"/>
      <c r="W6" s="1"/>
      <c r="X6" s="1"/>
      <c r="Y6" s="1"/>
      <c r="Z6" s="1"/>
      <c r="AA6" s="1"/>
    </row>
    <row r="7" spans="1:27" ht="14.25" customHeight="1">
      <c r="A7" s="1"/>
      <c r="B7" s="38" t="s">
        <v>36</v>
      </c>
      <c r="C7" s="1"/>
      <c r="D7" s="1"/>
      <c r="E7" s="1"/>
      <c r="F7" s="1"/>
      <c r="G7" s="1"/>
      <c r="H7" s="1"/>
      <c r="I7" s="1"/>
      <c r="J7" s="1"/>
      <c r="K7" s="1"/>
      <c r="L7" s="1"/>
      <c r="M7" s="1"/>
      <c r="N7" s="1"/>
      <c r="O7" s="1"/>
      <c r="P7" s="1"/>
      <c r="Q7" s="1"/>
      <c r="R7" s="1"/>
      <c r="S7" s="1"/>
      <c r="T7" s="1"/>
      <c r="U7" s="1"/>
      <c r="V7" s="1"/>
      <c r="W7" s="1"/>
      <c r="X7" s="1"/>
      <c r="Y7" s="1"/>
      <c r="Z7" s="1"/>
      <c r="AA7" s="1"/>
    </row>
    <row r="8" spans="1:27" ht="14.25" customHeight="1">
      <c r="A8" s="1"/>
      <c r="B8" s="1">
        <v>4</v>
      </c>
      <c r="C8" s="37" t="s">
        <v>37</v>
      </c>
      <c r="D8" s="1"/>
      <c r="E8" s="1"/>
      <c r="F8" s="1"/>
      <c r="G8" s="1"/>
      <c r="H8" s="1"/>
      <c r="I8" s="1"/>
      <c r="J8" s="1"/>
      <c r="K8" s="1"/>
      <c r="L8" s="1"/>
      <c r="M8" s="1"/>
      <c r="N8" s="1"/>
      <c r="O8" s="1"/>
      <c r="P8" s="1"/>
      <c r="Q8" s="1"/>
      <c r="R8" s="1"/>
      <c r="S8" s="1"/>
      <c r="T8" s="1"/>
      <c r="U8" s="1"/>
      <c r="V8" s="1"/>
      <c r="W8" s="1"/>
      <c r="X8" s="1"/>
      <c r="Y8" s="1"/>
      <c r="Z8" s="1"/>
      <c r="AA8" s="1"/>
    </row>
    <row r="9" spans="1:27" ht="14.25" customHeight="1">
      <c r="A9" s="1"/>
      <c r="B9" s="1">
        <v>3</v>
      </c>
      <c r="C9" s="37" t="s">
        <v>38</v>
      </c>
      <c r="D9" s="1"/>
      <c r="E9" s="1"/>
      <c r="F9" s="1"/>
      <c r="G9" s="1"/>
      <c r="H9" s="1"/>
      <c r="I9" s="1"/>
      <c r="J9" s="1"/>
      <c r="K9" s="1"/>
      <c r="L9" s="1"/>
      <c r="M9" s="1"/>
      <c r="N9" s="1"/>
      <c r="O9" s="1"/>
      <c r="P9" s="1"/>
      <c r="Q9" s="1"/>
      <c r="R9" s="1"/>
      <c r="S9" s="1"/>
      <c r="T9" s="1"/>
      <c r="U9" s="1"/>
      <c r="V9" s="1"/>
      <c r="W9" s="1"/>
      <c r="X9" s="1"/>
      <c r="Y9" s="1"/>
      <c r="Z9" s="1"/>
      <c r="AA9" s="1"/>
    </row>
    <row r="10" spans="1:27" ht="14.25" customHeight="1">
      <c r="A10" s="1"/>
      <c r="B10" s="1">
        <v>2</v>
      </c>
      <c r="C10" s="37" t="s">
        <v>39</v>
      </c>
      <c r="D10" s="1"/>
      <c r="E10" s="1"/>
      <c r="F10" s="1"/>
      <c r="G10" s="1"/>
      <c r="H10" s="1"/>
      <c r="I10" s="1"/>
      <c r="J10" s="1"/>
      <c r="K10" s="1"/>
      <c r="L10" s="1"/>
      <c r="M10" s="1"/>
      <c r="N10" s="1"/>
      <c r="O10" s="1"/>
      <c r="P10" s="1"/>
      <c r="Q10" s="1"/>
      <c r="R10" s="1"/>
      <c r="S10" s="1"/>
      <c r="T10" s="1"/>
      <c r="U10" s="1"/>
      <c r="V10" s="1"/>
      <c r="W10" s="1"/>
      <c r="X10" s="1"/>
      <c r="Y10" s="1"/>
      <c r="Z10" s="1"/>
      <c r="AA10" s="1"/>
    </row>
    <row r="11" spans="1:27" ht="14.25" customHeight="1">
      <c r="A11" s="1"/>
      <c r="B11" s="1">
        <v>1</v>
      </c>
      <c r="C11" s="37" t="s">
        <v>40</v>
      </c>
      <c r="D11" s="1"/>
      <c r="E11" s="1"/>
      <c r="F11" s="1"/>
      <c r="G11" s="1"/>
      <c r="H11" s="1"/>
      <c r="I11" s="1"/>
      <c r="J11" s="1"/>
      <c r="K11" s="1"/>
      <c r="L11" s="1"/>
      <c r="M11" s="1"/>
      <c r="N11" s="1"/>
      <c r="O11" s="1"/>
      <c r="P11" s="1"/>
      <c r="Q11" s="1"/>
      <c r="R11" s="1"/>
      <c r="S11" s="1"/>
      <c r="T11" s="1"/>
      <c r="U11" s="1"/>
      <c r="V11" s="1"/>
      <c r="W11" s="1"/>
      <c r="X11" s="1"/>
      <c r="Y11" s="1"/>
      <c r="Z11" s="1"/>
      <c r="AA11" s="1"/>
    </row>
    <row r="12" spans="1:27" ht="14.25" customHeight="1">
      <c r="A12" s="1"/>
      <c r="B12" s="1"/>
      <c r="C12" s="37"/>
      <c r="D12" s="1"/>
      <c r="E12" s="1"/>
      <c r="F12" s="1"/>
      <c r="G12" s="1"/>
      <c r="H12" s="1"/>
      <c r="I12" s="1"/>
      <c r="J12" s="1"/>
      <c r="K12" s="1"/>
      <c r="L12" s="1"/>
      <c r="M12" s="1"/>
      <c r="N12" s="1"/>
      <c r="O12" s="1"/>
      <c r="P12" s="1"/>
      <c r="Q12" s="1"/>
      <c r="R12" s="1"/>
      <c r="S12" s="1"/>
      <c r="T12" s="1"/>
      <c r="U12" s="1"/>
      <c r="V12" s="1"/>
      <c r="W12" s="1"/>
      <c r="X12" s="1"/>
      <c r="Y12" s="1"/>
      <c r="Z12" s="1"/>
      <c r="AA12" s="1"/>
    </row>
    <row r="13" spans="1:27" ht="14.25" customHeight="1">
      <c r="A13" s="1"/>
      <c r="B13" s="35" t="s">
        <v>41</v>
      </c>
      <c r="C13" s="1"/>
      <c r="D13" s="1"/>
      <c r="E13" s="1"/>
      <c r="F13" s="1"/>
      <c r="G13" s="1"/>
      <c r="H13" s="1"/>
      <c r="I13" s="1"/>
      <c r="J13" s="1"/>
      <c r="K13" s="1"/>
      <c r="L13" s="1"/>
      <c r="M13" s="1"/>
      <c r="N13" s="1"/>
      <c r="O13" s="1"/>
      <c r="P13" s="1"/>
      <c r="Q13" s="1"/>
      <c r="R13" s="1"/>
      <c r="S13" s="1"/>
      <c r="T13" s="1"/>
      <c r="U13" s="1"/>
      <c r="V13" s="1"/>
      <c r="W13" s="1"/>
      <c r="X13" s="1"/>
      <c r="Y13" s="1"/>
      <c r="Z13" s="1"/>
      <c r="AA13" s="1"/>
    </row>
    <row r="14" spans="1:27" ht="14.25" customHeight="1">
      <c r="A14" s="1"/>
      <c r="B14" s="36"/>
      <c r="C14" s="1"/>
      <c r="D14" s="1"/>
      <c r="E14" s="1"/>
      <c r="F14" s="1"/>
      <c r="G14" s="1"/>
      <c r="H14" s="1"/>
      <c r="I14" s="1"/>
      <c r="J14" s="1"/>
      <c r="K14" s="1"/>
      <c r="L14" s="1"/>
      <c r="M14" s="1"/>
      <c r="N14" s="1"/>
      <c r="O14" s="1"/>
      <c r="P14" s="1"/>
      <c r="Q14" s="1"/>
      <c r="R14" s="1"/>
      <c r="S14" s="1"/>
      <c r="T14" s="1"/>
      <c r="U14" s="1"/>
      <c r="V14" s="1"/>
      <c r="W14" s="1"/>
      <c r="X14" s="1"/>
      <c r="Y14" s="1"/>
      <c r="Z14" s="1"/>
      <c r="AA14" s="1"/>
    </row>
    <row r="15" spans="1:27" ht="14.25" customHeight="1">
      <c r="A15" s="1"/>
      <c r="B15" s="37" t="s">
        <v>42</v>
      </c>
      <c r="C15" s="1"/>
      <c r="D15" s="1"/>
      <c r="E15" s="1"/>
      <c r="F15" s="1"/>
      <c r="G15" s="1"/>
      <c r="H15" s="1"/>
      <c r="I15" s="1"/>
      <c r="J15" s="1"/>
      <c r="K15" s="1"/>
      <c r="L15" s="1"/>
      <c r="M15" s="1"/>
      <c r="N15" s="1"/>
      <c r="O15" s="1"/>
      <c r="P15" s="1"/>
      <c r="Q15" s="1"/>
      <c r="R15" s="1"/>
      <c r="S15" s="1"/>
      <c r="T15" s="1"/>
      <c r="U15" s="1"/>
      <c r="V15" s="1"/>
      <c r="W15" s="1"/>
      <c r="X15" s="1"/>
      <c r="Y15" s="1"/>
      <c r="Z15" s="1"/>
      <c r="AA15" s="1"/>
    </row>
    <row r="16" spans="1:27" ht="14.25" customHeight="1">
      <c r="A16" s="1"/>
      <c r="B16" s="38" t="s">
        <v>36</v>
      </c>
      <c r="C16" s="1"/>
      <c r="D16" s="1"/>
      <c r="E16" s="1"/>
      <c r="F16" s="1"/>
      <c r="G16" s="1"/>
      <c r="H16" s="1"/>
      <c r="I16" s="1"/>
      <c r="J16" s="1"/>
      <c r="K16" s="1"/>
      <c r="L16" s="1"/>
      <c r="M16" s="1"/>
      <c r="N16" s="1"/>
      <c r="O16" s="1"/>
      <c r="P16" s="1"/>
      <c r="Q16" s="1"/>
      <c r="R16" s="1"/>
      <c r="S16" s="1"/>
      <c r="T16" s="1"/>
      <c r="U16" s="1"/>
      <c r="V16" s="1"/>
      <c r="W16" s="1"/>
      <c r="X16" s="1"/>
      <c r="Y16" s="1"/>
      <c r="Z16" s="1"/>
      <c r="AA16" s="1"/>
    </row>
    <row r="17" spans="1:27" ht="14.25" customHeight="1">
      <c r="A17" s="1"/>
      <c r="B17" s="1">
        <v>4</v>
      </c>
      <c r="C17" s="37" t="s">
        <v>37</v>
      </c>
      <c r="D17" s="1"/>
      <c r="E17" s="1"/>
      <c r="F17" s="1"/>
      <c r="G17" s="1"/>
      <c r="H17" s="1"/>
      <c r="I17" s="1"/>
      <c r="J17" s="1"/>
      <c r="K17" s="1"/>
      <c r="L17" s="1"/>
      <c r="M17" s="1"/>
      <c r="N17" s="1"/>
      <c r="O17" s="1"/>
      <c r="P17" s="1"/>
      <c r="Q17" s="1"/>
      <c r="R17" s="1"/>
      <c r="S17" s="1"/>
      <c r="T17" s="1"/>
      <c r="U17" s="1"/>
      <c r="V17" s="1"/>
      <c r="W17" s="1"/>
      <c r="X17" s="1"/>
      <c r="Y17" s="1"/>
      <c r="Z17" s="1"/>
      <c r="AA17" s="1"/>
    </row>
    <row r="18" spans="1:27" ht="14.25" customHeight="1">
      <c r="A18" s="1"/>
      <c r="B18" s="1">
        <v>3</v>
      </c>
      <c r="C18" s="37" t="s">
        <v>38</v>
      </c>
      <c r="D18" s="1"/>
      <c r="E18" s="1"/>
      <c r="F18" s="1"/>
      <c r="G18" s="1"/>
      <c r="H18" s="1"/>
      <c r="I18" s="1"/>
      <c r="J18" s="1"/>
      <c r="K18" s="1"/>
      <c r="L18" s="1"/>
      <c r="M18" s="1"/>
      <c r="N18" s="1"/>
      <c r="O18" s="1"/>
      <c r="P18" s="1"/>
      <c r="Q18" s="1"/>
      <c r="R18" s="1"/>
      <c r="S18" s="1"/>
      <c r="T18" s="1"/>
      <c r="U18" s="1"/>
      <c r="V18" s="1"/>
      <c r="W18" s="1"/>
      <c r="X18" s="1"/>
      <c r="Y18" s="1"/>
      <c r="Z18" s="1"/>
      <c r="AA18" s="1"/>
    </row>
    <row r="19" spans="1:27" ht="14.25" customHeight="1">
      <c r="A19" s="1"/>
      <c r="B19" s="1">
        <v>2</v>
      </c>
      <c r="C19" s="37" t="s">
        <v>39</v>
      </c>
      <c r="D19" s="1"/>
      <c r="E19" s="1"/>
      <c r="F19" s="1"/>
      <c r="G19" s="1"/>
      <c r="H19" s="1"/>
      <c r="I19" s="1"/>
      <c r="J19" s="1"/>
      <c r="K19" s="1"/>
      <c r="L19" s="1"/>
      <c r="M19" s="1"/>
      <c r="N19" s="1"/>
      <c r="O19" s="1"/>
      <c r="P19" s="1"/>
      <c r="Q19" s="1"/>
      <c r="R19" s="1"/>
      <c r="S19" s="1"/>
      <c r="T19" s="1"/>
      <c r="U19" s="1"/>
      <c r="V19" s="1"/>
      <c r="W19" s="1"/>
      <c r="X19" s="1"/>
      <c r="Y19" s="1"/>
      <c r="Z19" s="1"/>
      <c r="AA19" s="1"/>
    </row>
    <row r="20" spans="1:27" ht="14.25" customHeight="1">
      <c r="A20" s="1"/>
      <c r="B20" s="1">
        <v>1</v>
      </c>
      <c r="C20" s="37" t="s">
        <v>40</v>
      </c>
      <c r="D20" s="1"/>
      <c r="E20" s="1"/>
      <c r="F20" s="1"/>
      <c r="G20" s="1"/>
      <c r="H20" s="1"/>
      <c r="I20" s="1"/>
      <c r="J20" s="1"/>
      <c r="K20" s="1"/>
      <c r="L20" s="1"/>
      <c r="M20" s="1"/>
      <c r="N20" s="1"/>
      <c r="O20" s="1"/>
      <c r="P20" s="1"/>
      <c r="Q20" s="1"/>
      <c r="R20" s="1"/>
      <c r="S20" s="1"/>
      <c r="T20" s="1"/>
      <c r="U20" s="1"/>
      <c r="V20" s="1"/>
      <c r="W20" s="1"/>
      <c r="X20" s="1"/>
      <c r="Y20" s="1"/>
      <c r="Z20" s="1"/>
      <c r="AA20" s="1"/>
    </row>
    <row r="21" spans="1:27" ht="14.25" customHeight="1">
      <c r="A21" s="1"/>
      <c r="B21" s="38"/>
      <c r="C21" s="1"/>
      <c r="D21" s="1"/>
      <c r="E21" s="1"/>
      <c r="F21" s="1"/>
      <c r="G21" s="1"/>
      <c r="H21" s="1"/>
      <c r="I21" s="1"/>
      <c r="J21" s="1"/>
      <c r="K21" s="1"/>
      <c r="L21" s="1"/>
      <c r="M21" s="1"/>
      <c r="N21" s="1"/>
      <c r="O21" s="1"/>
      <c r="P21" s="1"/>
      <c r="Q21" s="1"/>
      <c r="R21" s="1"/>
      <c r="S21" s="1"/>
      <c r="T21" s="1"/>
      <c r="U21" s="1"/>
      <c r="V21" s="1"/>
      <c r="W21" s="1"/>
      <c r="X21" s="1"/>
      <c r="Y21" s="1"/>
      <c r="Z21" s="1"/>
      <c r="AA21" s="1"/>
    </row>
    <row r="22" spans="1:27" ht="14.25" customHeight="1">
      <c r="A22" s="1"/>
      <c r="B22" s="86" t="s">
        <v>3</v>
      </c>
      <c r="C22" s="83"/>
      <c r="D22" s="83"/>
      <c r="E22" s="83"/>
      <c r="F22" s="84"/>
      <c r="G22" s="1"/>
      <c r="H22" s="1"/>
      <c r="I22" s="1"/>
      <c r="J22" s="1"/>
      <c r="K22" s="1"/>
      <c r="L22" s="1"/>
      <c r="M22" s="1"/>
      <c r="N22" s="1"/>
      <c r="O22" s="1"/>
      <c r="P22" s="1"/>
      <c r="Q22" s="1"/>
      <c r="R22" s="1"/>
      <c r="S22" s="1"/>
      <c r="T22" s="1"/>
      <c r="U22" s="1"/>
      <c r="V22" s="1"/>
      <c r="W22" s="1"/>
      <c r="X22" s="1"/>
      <c r="Y22" s="1"/>
      <c r="Z22" s="1"/>
      <c r="AA22" s="1"/>
    </row>
    <row r="23" spans="1:27" ht="14.25" customHeight="1">
      <c r="A23" s="1"/>
      <c r="B23" s="1"/>
      <c r="C23" s="39" t="s">
        <v>5</v>
      </c>
      <c r="D23" s="39" t="s">
        <v>6</v>
      </c>
      <c r="E23" s="39" t="s">
        <v>7</v>
      </c>
      <c r="F23" s="39" t="s">
        <v>8</v>
      </c>
      <c r="G23" s="1"/>
      <c r="H23" s="1"/>
      <c r="I23" s="1"/>
      <c r="J23" s="1"/>
      <c r="K23" s="1"/>
      <c r="L23" s="1"/>
      <c r="M23" s="1"/>
      <c r="N23" s="1"/>
      <c r="O23" s="1"/>
      <c r="P23" s="1"/>
      <c r="Q23" s="1"/>
      <c r="R23" s="1"/>
      <c r="S23" s="1"/>
      <c r="T23" s="1"/>
      <c r="U23" s="1"/>
      <c r="V23" s="1"/>
      <c r="W23" s="1"/>
      <c r="X23" s="1"/>
      <c r="Y23" s="1"/>
      <c r="Z23" s="1"/>
      <c r="AA23" s="1"/>
    </row>
    <row r="24" spans="1:27" ht="14.25" customHeight="1">
      <c r="A24" s="1"/>
      <c r="B24" s="4">
        <v>1</v>
      </c>
      <c r="C24" s="40" t="s">
        <v>43</v>
      </c>
      <c r="D24" s="41" t="s">
        <v>44</v>
      </c>
      <c r="E24" s="41" t="s">
        <v>45</v>
      </c>
      <c r="F24" s="42" t="s">
        <v>46</v>
      </c>
      <c r="G24" s="1"/>
      <c r="H24" s="1"/>
      <c r="I24" s="1"/>
      <c r="J24" s="1"/>
      <c r="K24" s="1"/>
      <c r="L24" s="1"/>
      <c r="M24" s="1"/>
      <c r="N24" s="1"/>
      <c r="O24" s="1"/>
      <c r="P24" s="1"/>
      <c r="Q24" s="1"/>
      <c r="R24" s="1"/>
      <c r="S24" s="1"/>
      <c r="T24" s="1"/>
      <c r="U24" s="1"/>
      <c r="V24" s="1"/>
      <c r="W24" s="1"/>
      <c r="X24" s="1"/>
      <c r="Y24" s="1"/>
      <c r="Z24" s="1"/>
      <c r="AA24" s="1"/>
    </row>
    <row r="25" spans="1:27" ht="14.25" customHeight="1">
      <c r="A25" s="1"/>
      <c r="B25" s="4">
        <v>2</v>
      </c>
      <c r="C25" s="42" t="s">
        <v>47</v>
      </c>
      <c r="D25" s="41" t="s">
        <v>48</v>
      </c>
      <c r="E25" s="42" t="s">
        <v>49</v>
      </c>
      <c r="F25" s="42" t="s">
        <v>50</v>
      </c>
      <c r="G25" s="1"/>
      <c r="H25" s="1"/>
      <c r="I25" s="1"/>
      <c r="J25" s="1"/>
      <c r="K25" s="1"/>
      <c r="L25" s="1"/>
      <c r="M25" s="1"/>
      <c r="N25" s="1"/>
      <c r="O25" s="1"/>
      <c r="P25" s="1"/>
      <c r="Q25" s="1"/>
      <c r="R25" s="1"/>
      <c r="S25" s="1"/>
      <c r="T25" s="1"/>
      <c r="U25" s="1"/>
      <c r="V25" s="1"/>
      <c r="W25" s="1"/>
      <c r="X25" s="1"/>
      <c r="Y25" s="1"/>
      <c r="Z25" s="1"/>
      <c r="AA25" s="1"/>
    </row>
    <row r="26" spans="1:27" ht="14.25" customHeight="1">
      <c r="A26" s="1"/>
      <c r="B26" s="4">
        <v>3</v>
      </c>
      <c r="C26" s="42" t="s">
        <v>51</v>
      </c>
      <c r="D26" s="41" t="s">
        <v>52</v>
      </c>
      <c r="E26" s="41" t="s">
        <v>53</v>
      </c>
      <c r="F26" s="41" t="s">
        <v>54</v>
      </c>
      <c r="G26" s="1"/>
      <c r="H26" s="1"/>
      <c r="I26" s="1"/>
      <c r="J26" s="1"/>
      <c r="K26" s="1"/>
      <c r="L26" s="1"/>
      <c r="M26" s="1"/>
      <c r="N26" s="1"/>
      <c r="O26" s="1"/>
      <c r="P26" s="1"/>
      <c r="Q26" s="1"/>
      <c r="R26" s="1"/>
      <c r="S26" s="1"/>
      <c r="T26" s="1"/>
      <c r="U26" s="1"/>
      <c r="V26" s="1"/>
      <c r="W26" s="1"/>
      <c r="X26" s="1"/>
      <c r="Y26" s="1"/>
      <c r="Z26" s="1"/>
      <c r="AA26" s="1"/>
    </row>
    <row r="27" spans="1:27" ht="14.25" customHeight="1">
      <c r="A27" s="1"/>
      <c r="B27" s="4">
        <v>4</v>
      </c>
      <c r="C27" s="42" t="s">
        <v>55</v>
      </c>
      <c r="D27" s="41" t="s">
        <v>56</v>
      </c>
      <c r="E27" s="41" t="s">
        <v>57</v>
      </c>
      <c r="F27" s="41" t="s">
        <v>58</v>
      </c>
      <c r="G27" s="1"/>
      <c r="H27" s="1"/>
      <c r="I27" s="1"/>
      <c r="J27" s="1"/>
      <c r="K27" s="1"/>
      <c r="L27" s="1"/>
      <c r="M27" s="1"/>
      <c r="N27" s="1"/>
      <c r="O27" s="1"/>
      <c r="P27" s="1"/>
      <c r="Q27" s="1"/>
      <c r="R27" s="1"/>
      <c r="S27" s="1"/>
      <c r="T27" s="1"/>
      <c r="U27" s="1"/>
      <c r="V27" s="1"/>
      <c r="W27" s="1"/>
      <c r="X27" s="1"/>
      <c r="Y27" s="1"/>
      <c r="Z27" s="1"/>
      <c r="AA27" s="1"/>
    </row>
    <row r="28" spans="1:27" ht="14.25" customHeight="1">
      <c r="A28" s="1"/>
      <c r="B28" s="86" t="s">
        <v>9</v>
      </c>
      <c r="C28" s="83"/>
      <c r="D28" s="83"/>
      <c r="E28" s="83"/>
      <c r="F28" s="83"/>
      <c r="G28" s="84"/>
      <c r="H28" s="1"/>
      <c r="I28" s="1"/>
      <c r="J28" s="1"/>
      <c r="K28" s="1"/>
      <c r="L28" s="1"/>
      <c r="M28" s="1"/>
      <c r="N28" s="1"/>
      <c r="O28" s="1"/>
      <c r="P28" s="1"/>
      <c r="Q28" s="1"/>
      <c r="R28" s="1"/>
      <c r="S28" s="1"/>
      <c r="T28" s="1"/>
      <c r="U28" s="1"/>
      <c r="V28" s="1"/>
      <c r="W28" s="1"/>
      <c r="X28" s="1"/>
      <c r="Y28" s="1"/>
      <c r="Z28" s="1"/>
      <c r="AA28" s="1"/>
    </row>
    <row r="29" spans="1:27" ht="14.25" customHeight="1">
      <c r="A29" s="1"/>
      <c r="B29" s="1"/>
      <c r="C29" s="39" t="s">
        <v>10</v>
      </c>
      <c r="D29" s="39" t="s">
        <v>11</v>
      </c>
      <c r="E29" s="39" t="s">
        <v>12</v>
      </c>
      <c r="F29" s="39" t="s">
        <v>13</v>
      </c>
      <c r="G29" s="39" t="s">
        <v>14</v>
      </c>
      <c r="H29" s="1"/>
      <c r="I29" s="1"/>
      <c r="J29" s="1"/>
      <c r="K29" s="1"/>
      <c r="L29" s="1"/>
      <c r="M29" s="1"/>
      <c r="N29" s="1"/>
      <c r="O29" s="1"/>
      <c r="P29" s="1"/>
      <c r="Q29" s="1"/>
      <c r="R29" s="1"/>
      <c r="S29" s="1"/>
      <c r="T29" s="1"/>
      <c r="U29" s="1"/>
      <c r="V29" s="1"/>
      <c r="W29" s="1"/>
      <c r="X29" s="1"/>
      <c r="Y29" s="1"/>
      <c r="Z29" s="1"/>
      <c r="AA29" s="1"/>
    </row>
    <row r="30" spans="1:27" ht="14.25" customHeight="1">
      <c r="A30" s="1"/>
      <c r="B30" s="4">
        <v>1</v>
      </c>
      <c r="C30" s="42" t="s">
        <v>59</v>
      </c>
      <c r="D30" s="41" t="s">
        <v>60</v>
      </c>
      <c r="E30" s="41" t="s">
        <v>61</v>
      </c>
      <c r="F30" s="41" t="s">
        <v>62</v>
      </c>
      <c r="G30" s="41" t="s">
        <v>63</v>
      </c>
      <c r="H30" s="1"/>
      <c r="I30" s="1"/>
      <c r="J30" s="1"/>
      <c r="K30" s="1"/>
      <c r="L30" s="1"/>
      <c r="M30" s="1"/>
      <c r="N30" s="1"/>
      <c r="O30" s="1"/>
      <c r="P30" s="1"/>
      <c r="Q30" s="1"/>
      <c r="R30" s="1"/>
      <c r="S30" s="1"/>
      <c r="T30" s="1"/>
      <c r="U30" s="1"/>
      <c r="V30" s="1"/>
      <c r="W30" s="1"/>
      <c r="X30" s="1"/>
      <c r="Y30" s="1"/>
      <c r="Z30" s="1"/>
      <c r="AA30" s="1"/>
    </row>
    <row r="31" spans="1:27" ht="14.25" customHeight="1">
      <c r="A31" s="1"/>
      <c r="B31" s="4">
        <v>2</v>
      </c>
      <c r="C31" s="42" t="s">
        <v>64</v>
      </c>
      <c r="D31" s="42" t="s">
        <v>65</v>
      </c>
      <c r="E31" s="42" t="s">
        <v>66</v>
      </c>
      <c r="F31" s="41" t="s">
        <v>67</v>
      </c>
      <c r="G31" s="41" t="s">
        <v>68</v>
      </c>
      <c r="H31" s="1"/>
      <c r="I31" s="1"/>
      <c r="J31" s="1"/>
      <c r="K31" s="1"/>
      <c r="L31" s="1"/>
      <c r="M31" s="1"/>
      <c r="N31" s="1"/>
      <c r="O31" s="1"/>
      <c r="P31" s="1"/>
      <c r="Q31" s="1"/>
      <c r="R31" s="1"/>
      <c r="S31" s="1"/>
      <c r="T31" s="1"/>
      <c r="U31" s="1"/>
      <c r="V31" s="1"/>
      <c r="W31" s="1"/>
      <c r="X31" s="1"/>
      <c r="Y31" s="1"/>
      <c r="Z31" s="1"/>
      <c r="AA31" s="1"/>
    </row>
    <row r="32" spans="1:27" ht="14.25" customHeight="1">
      <c r="A32" s="1"/>
      <c r="B32" s="4">
        <v>3</v>
      </c>
      <c r="C32" s="42" t="s">
        <v>69</v>
      </c>
      <c r="D32" s="41" t="s">
        <v>70</v>
      </c>
      <c r="E32" s="42" t="s">
        <v>71</v>
      </c>
      <c r="F32" s="41" t="s">
        <v>72</v>
      </c>
      <c r="G32" s="41" t="s">
        <v>73</v>
      </c>
      <c r="H32" s="1"/>
      <c r="I32" s="1"/>
      <c r="J32" s="1"/>
      <c r="K32" s="1"/>
      <c r="L32" s="1"/>
      <c r="M32" s="1"/>
      <c r="N32" s="1"/>
      <c r="O32" s="1"/>
      <c r="P32" s="1"/>
      <c r="Q32" s="1"/>
      <c r="R32" s="1"/>
      <c r="S32" s="1"/>
      <c r="T32" s="1"/>
      <c r="U32" s="1"/>
      <c r="V32" s="1"/>
      <c r="W32" s="1"/>
      <c r="X32" s="1"/>
      <c r="Y32" s="1"/>
      <c r="Z32" s="1"/>
      <c r="AA32" s="1"/>
    </row>
    <row r="33" spans="1:27" ht="14.25" customHeight="1">
      <c r="A33" s="1"/>
      <c r="B33" s="4">
        <v>4</v>
      </c>
      <c r="C33" s="43" t="s">
        <v>74</v>
      </c>
      <c r="D33" s="41" t="s">
        <v>75</v>
      </c>
      <c r="E33" s="42" t="s">
        <v>76</v>
      </c>
      <c r="F33" s="44" t="s">
        <v>77</v>
      </c>
      <c r="G33" s="45" t="s">
        <v>78</v>
      </c>
      <c r="H33" s="1"/>
      <c r="I33" s="1"/>
      <c r="J33" s="1"/>
      <c r="K33" s="1"/>
      <c r="L33" s="1"/>
      <c r="M33" s="1"/>
      <c r="N33" s="1"/>
      <c r="O33" s="1"/>
      <c r="P33" s="1"/>
      <c r="Q33" s="1"/>
      <c r="R33" s="1"/>
      <c r="S33" s="1"/>
      <c r="T33" s="1"/>
      <c r="U33" s="1"/>
      <c r="V33" s="1"/>
      <c r="W33" s="1"/>
      <c r="X33" s="1"/>
      <c r="Y33" s="1"/>
      <c r="Z33" s="1"/>
      <c r="AA33" s="1"/>
    </row>
    <row r="34" spans="1:27" ht="14.25" customHeight="1">
      <c r="A34" s="1"/>
      <c r="B34" s="87" t="s">
        <v>15</v>
      </c>
      <c r="C34" s="83"/>
      <c r="D34" s="83"/>
      <c r="E34" s="83"/>
      <c r="F34" s="83"/>
      <c r="G34" s="84"/>
      <c r="H34" s="1"/>
      <c r="I34" s="1"/>
      <c r="J34" s="1"/>
      <c r="K34" s="1"/>
      <c r="L34" s="1"/>
      <c r="M34" s="1"/>
      <c r="N34" s="1"/>
      <c r="O34" s="1"/>
      <c r="P34" s="1"/>
      <c r="Q34" s="1"/>
      <c r="R34" s="1"/>
      <c r="S34" s="1"/>
      <c r="T34" s="1"/>
      <c r="U34" s="1"/>
      <c r="V34" s="1"/>
      <c r="W34" s="1"/>
      <c r="X34" s="1"/>
      <c r="Y34" s="1"/>
      <c r="Z34" s="1"/>
      <c r="AA34" s="1"/>
    </row>
    <row r="35" spans="1:27" ht="14.25" customHeight="1">
      <c r="A35" s="1"/>
      <c r="B35" s="1" t="s">
        <v>15</v>
      </c>
      <c r="C35" s="39" t="s">
        <v>79</v>
      </c>
      <c r="D35" s="39" t="s">
        <v>80</v>
      </c>
      <c r="E35" s="39" t="s">
        <v>81</v>
      </c>
      <c r="F35" s="46" t="s">
        <v>82</v>
      </c>
      <c r="G35" s="46" t="s">
        <v>83</v>
      </c>
      <c r="H35" s="1"/>
      <c r="I35" s="46"/>
      <c r="J35" s="1"/>
      <c r="K35" s="1"/>
      <c r="L35" s="1"/>
      <c r="M35" s="1"/>
      <c r="N35" s="1"/>
      <c r="O35" s="1"/>
      <c r="P35" s="1"/>
      <c r="Q35" s="1"/>
      <c r="R35" s="1"/>
      <c r="S35" s="1"/>
      <c r="T35" s="1"/>
      <c r="U35" s="1"/>
      <c r="V35" s="1"/>
      <c r="W35" s="1"/>
      <c r="X35" s="1"/>
      <c r="Y35" s="1"/>
      <c r="Z35" s="1"/>
      <c r="AA35" s="1"/>
    </row>
    <row r="36" spans="1:27" ht="14.25" customHeight="1">
      <c r="A36" s="1"/>
      <c r="B36" s="4">
        <v>1</v>
      </c>
      <c r="C36" s="47" t="s">
        <v>84</v>
      </c>
      <c r="D36" s="48" t="s">
        <v>85</v>
      </c>
      <c r="E36" s="41" t="s">
        <v>86</v>
      </c>
      <c r="F36" s="42" t="s">
        <v>87</v>
      </c>
      <c r="G36" s="42" t="s">
        <v>88</v>
      </c>
      <c r="H36" s="1"/>
      <c r="I36" s="1"/>
      <c r="J36" s="1"/>
      <c r="K36" s="1"/>
      <c r="L36" s="1"/>
      <c r="M36" s="1"/>
      <c r="N36" s="1"/>
      <c r="O36" s="1"/>
      <c r="P36" s="1"/>
      <c r="Q36" s="1"/>
      <c r="R36" s="1"/>
      <c r="S36" s="1"/>
      <c r="T36" s="1"/>
      <c r="U36" s="1"/>
      <c r="V36" s="1"/>
      <c r="W36" s="1"/>
      <c r="X36" s="1"/>
      <c r="Y36" s="1"/>
      <c r="Z36" s="1"/>
      <c r="AA36" s="1"/>
    </row>
    <row r="37" spans="1:27" ht="14.25" customHeight="1">
      <c r="A37" s="1"/>
      <c r="B37" s="4">
        <v>2</v>
      </c>
      <c r="C37" s="42" t="s">
        <v>89</v>
      </c>
      <c r="D37" s="43" t="s">
        <v>90</v>
      </c>
      <c r="E37" s="42" t="s">
        <v>91</v>
      </c>
      <c r="F37" s="42" t="s">
        <v>92</v>
      </c>
      <c r="G37" s="42" t="s">
        <v>93</v>
      </c>
      <c r="H37" s="1"/>
      <c r="I37" s="1"/>
      <c r="J37" s="1"/>
      <c r="K37" s="1"/>
      <c r="L37" s="1"/>
      <c r="M37" s="1"/>
      <c r="N37" s="1"/>
      <c r="O37" s="1"/>
      <c r="P37" s="1"/>
      <c r="Q37" s="1"/>
      <c r="R37" s="1"/>
      <c r="S37" s="1"/>
      <c r="T37" s="1"/>
      <c r="U37" s="1"/>
      <c r="V37" s="1"/>
      <c r="W37" s="1"/>
      <c r="X37" s="1"/>
      <c r="Y37" s="1"/>
      <c r="Z37" s="1"/>
      <c r="AA37" s="1"/>
    </row>
    <row r="38" spans="1:27" ht="14.25" customHeight="1">
      <c r="A38" s="1"/>
      <c r="B38" s="4">
        <v>3</v>
      </c>
      <c r="C38" s="42" t="s">
        <v>94</v>
      </c>
      <c r="D38" s="42" t="s">
        <v>95</v>
      </c>
      <c r="E38" s="42" t="s">
        <v>96</v>
      </c>
      <c r="F38" s="42" t="s">
        <v>97</v>
      </c>
      <c r="G38" s="42" t="s">
        <v>98</v>
      </c>
      <c r="H38" s="1"/>
      <c r="I38" s="1"/>
      <c r="J38" s="1"/>
      <c r="K38" s="1"/>
      <c r="L38" s="1"/>
      <c r="M38" s="1"/>
      <c r="N38" s="1"/>
      <c r="O38" s="1"/>
      <c r="P38" s="1"/>
      <c r="Q38" s="1"/>
      <c r="R38" s="1"/>
      <c r="S38" s="1"/>
      <c r="T38" s="1"/>
      <c r="U38" s="1"/>
      <c r="V38" s="1"/>
      <c r="W38" s="1"/>
      <c r="X38" s="1"/>
      <c r="Y38" s="1"/>
      <c r="Z38" s="1"/>
      <c r="AA38" s="1"/>
    </row>
    <row r="39" spans="1:27" ht="14.25" customHeight="1">
      <c r="A39" s="1"/>
      <c r="B39" s="4">
        <v>4</v>
      </c>
      <c r="C39" s="42" t="s">
        <v>99</v>
      </c>
      <c r="D39" s="42" t="s">
        <v>100</v>
      </c>
      <c r="E39" s="42" t="s">
        <v>101</v>
      </c>
      <c r="F39" s="1" t="s">
        <v>102</v>
      </c>
      <c r="G39" s="42" t="s">
        <v>103</v>
      </c>
      <c r="H39" s="1"/>
      <c r="I39" s="1"/>
      <c r="J39" s="1"/>
      <c r="K39" s="1"/>
      <c r="L39" s="1"/>
      <c r="M39" s="1"/>
      <c r="N39" s="1"/>
      <c r="O39" s="1"/>
      <c r="P39" s="1"/>
      <c r="Q39" s="1"/>
      <c r="R39" s="1"/>
      <c r="S39" s="1"/>
      <c r="T39" s="1"/>
      <c r="U39" s="1"/>
      <c r="V39" s="1"/>
      <c r="W39" s="1"/>
      <c r="X39" s="1"/>
      <c r="Y39" s="1"/>
      <c r="Z39" s="1"/>
      <c r="AA39" s="1"/>
    </row>
    <row r="40" spans="1:27" ht="14.25" customHeight="1">
      <c r="A40" s="1"/>
      <c r="B40" s="86" t="s">
        <v>16</v>
      </c>
      <c r="C40" s="83"/>
      <c r="D40" s="83"/>
      <c r="E40" s="83"/>
      <c r="F40" s="83"/>
      <c r="G40" s="84"/>
      <c r="H40" s="1"/>
      <c r="I40" s="1"/>
      <c r="J40" s="1"/>
      <c r="K40" s="1"/>
      <c r="L40" s="1"/>
      <c r="M40" s="1"/>
      <c r="N40" s="1"/>
      <c r="O40" s="1"/>
      <c r="P40" s="1"/>
      <c r="Q40" s="1"/>
      <c r="R40" s="1"/>
      <c r="S40" s="1"/>
      <c r="T40" s="1"/>
      <c r="U40" s="1"/>
      <c r="V40" s="1"/>
      <c r="W40" s="1"/>
      <c r="X40" s="1"/>
      <c r="Y40" s="1"/>
      <c r="Z40" s="1"/>
      <c r="AA40" s="1"/>
    </row>
    <row r="41" spans="1:27" ht="14.25" customHeight="1">
      <c r="A41" s="1"/>
      <c r="B41" s="1"/>
      <c r="C41" s="39" t="s">
        <v>17</v>
      </c>
      <c r="D41" s="39" t="s">
        <v>18</v>
      </c>
      <c r="E41" s="39" t="s">
        <v>19</v>
      </c>
      <c r="F41" s="39" t="s">
        <v>20</v>
      </c>
      <c r="G41" s="39" t="s">
        <v>21</v>
      </c>
      <c r="H41" s="1"/>
      <c r="I41" s="1"/>
      <c r="J41" s="1"/>
      <c r="K41" s="1"/>
      <c r="L41" s="1"/>
      <c r="M41" s="1"/>
      <c r="N41" s="1"/>
      <c r="O41" s="1"/>
      <c r="P41" s="1"/>
      <c r="Q41" s="1"/>
      <c r="R41" s="1"/>
      <c r="S41" s="1"/>
      <c r="T41" s="1"/>
      <c r="U41" s="1"/>
      <c r="V41" s="1"/>
      <c r="W41" s="1"/>
      <c r="X41" s="1"/>
      <c r="Y41" s="1"/>
      <c r="Z41" s="1"/>
      <c r="AA41" s="1"/>
    </row>
    <row r="42" spans="1:27" ht="14.25" customHeight="1">
      <c r="A42" s="1"/>
      <c r="B42" s="4">
        <v>1</v>
      </c>
      <c r="C42" s="42" t="s">
        <v>104</v>
      </c>
      <c r="D42" s="41" t="s">
        <v>105</v>
      </c>
      <c r="E42" s="41" t="s">
        <v>106</v>
      </c>
      <c r="F42" s="42" t="s">
        <v>107</v>
      </c>
      <c r="G42" s="41" t="s">
        <v>108</v>
      </c>
      <c r="H42" s="1"/>
      <c r="I42" s="1"/>
      <c r="J42" s="1"/>
      <c r="K42" s="1"/>
      <c r="L42" s="1"/>
      <c r="M42" s="1"/>
      <c r="N42" s="1"/>
      <c r="O42" s="1"/>
      <c r="P42" s="1"/>
      <c r="Q42" s="1"/>
      <c r="R42" s="1"/>
      <c r="S42" s="1"/>
      <c r="T42" s="1"/>
      <c r="U42" s="1"/>
      <c r="V42" s="1"/>
      <c r="W42" s="1"/>
      <c r="X42" s="1"/>
      <c r="Y42" s="1"/>
      <c r="Z42" s="1"/>
      <c r="AA42" s="1"/>
    </row>
    <row r="43" spans="1:27" ht="14.25" customHeight="1">
      <c r="A43" s="1"/>
      <c r="B43" s="4">
        <v>2</v>
      </c>
      <c r="C43" s="42" t="s">
        <v>109</v>
      </c>
      <c r="D43" s="42" t="s">
        <v>110</v>
      </c>
      <c r="E43" s="42" t="s">
        <v>111</v>
      </c>
      <c r="F43" s="42" t="s">
        <v>112</v>
      </c>
      <c r="G43" s="42" t="s">
        <v>113</v>
      </c>
      <c r="H43" s="1"/>
      <c r="I43" s="1"/>
      <c r="J43" s="1"/>
      <c r="K43" s="1"/>
      <c r="L43" s="1"/>
      <c r="M43" s="1"/>
      <c r="N43" s="1"/>
      <c r="O43" s="1"/>
      <c r="P43" s="1"/>
      <c r="Q43" s="1"/>
      <c r="R43" s="1"/>
      <c r="S43" s="1"/>
      <c r="T43" s="1"/>
      <c r="U43" s="1"/>
      <c r="V43" s="1"/>
      <c r="W43" s="1"/>
      <c r="X43" s="1"/>
      <c r="Y43" s="1"/>
      <c r="Z43" s="1"/>
      <c r="AA43" s="1"/>
    </row>
    <row r="44" spans="1:27" ht="14.25" customHeight="1">
      <c r="A44" s="1"/>
      <c r="B44" s="4">
        <v>3</v>
      </c>
      <c r="C44" s="42" t="s">
        <v>114</v>
      </c>
      <c r="D44" s="42" t="s">
        <v>115</v>
      </c>
      <c r="E44" s="42" t="s">
        <v>116</v>
      </c>
      <c r="F44" s="42" t="s">
        <v>117</v>
      </c>
      <c r="G44" s="42" t="s">
        <v>118</v>
      </c>
      <c r="H44" s="1"/>
      <c r="I44" s="1"/>
      <c r="J44" s="1"/>
      <c r="K44" s="1"/>
      <c r="L44" s="1"/>
      <c r="M44" s="1"/>
      <c r="N44" s="1"/>
      <c r="O44" s="1"/>
      <c r="P44" s="1"/>
      <c r="Q44" s="1"/>
      <c r="R44" s="1"/>
      <c r="S44" s="1"/>
      <c r="T44" s="1"/>
      <c r="U44" s="1"/>
      <c r="V44" s="1"/>
      <c r="W44" s="1"/>
      <c r="X44" s="1"/>
      <c r="Y44" s="1"/>
      <c r="Z44" s="1"/>
      <c r="AA44" s="1"/>
    </row>
    <row r="45" spans="1:27" ht="14.25" customHeight="1">
      <c r="A45" s="1"/>
      <c r="B45" s="4">
        <v>4</v>
      </c>
      <c r="C45" s="41" t="s">
        <v>119</v>
      </c>
      <c r="D45" s="44" t="s">
        <v>120</v>
      </c>
      <c r="E45" s="42" t="s">
        <v>121</v>
      </c>
      <c r="F45" s="42" t="s">
        <v>122</v>
      </c>
      <c r="G45" s="42" t="s">
        <v>123</v>
      </c>
      <c r="H45" s="1"/>
      <c r="I45" s="1"/>
      <c r="J45" s="1"/>
      <c r="K45" s="1"/>
      <c r="L45" s="1"/>
      <c r="M45" s="1"/>
      <c r="N45" s="1"/>
      <c r="O45" s="1"/>
      <c r="P45" s="1"/>
      <c r="Q45" s="1"/>
      <c r="R45" s="1"/>
      <c r="S45" s="1"/>
      <c r="T45" s="1"/>
      <c r="U45" s="1"/>
      <c r="V45" s="1"/>
      <c r="W45" s="1"/>
      <c r="X45" s="1"/>
      <c r="Y45" s="1"/>
      <c r="Z45" s="1"/>
      <c r="AA45" s="1"/>
    </row>
    <row r="46" spans="1:27" ht="14.25" customHeight="1">
      <c r="A46" s="1"/>
      <c r="B46" s="86" t="s">
        <v>22</v>
      </c>
      <c r="C46" s="83"/>
      <c r="D46" s="83"/>
      <c r="E46" s="83"/>
      <c r="F46" s="84"/>
      <c r="G46" s="1"/>
      <c r="H46" s="1"/>
      <c r="I46" s="1"/>
      <c r="J46" s="1"/>
      <c r="K46" s="1"/>
      <c r="L46" s="1"/>
      <c r="M46" s="1"/>
      <c r="N46" s="1"/>
      <c r="O46" s="1"/>
      <c r="P46" s="1"/>
      <c r="Q46" s="1"/>
      <c r="R46" s="1"/>
      <c r="S46" s="1"/>
      <c r="T46" s="1"/>
      <c r="U46" s="1"/>
      <c r="V46" s="1"/>
      <c r="W46" s="1"/>
      <c r="X46" s="1"/>
      <c r="Y46" s="1"/>
      <c r="Z46" s="1"/>
      <c r="AA46" s="1"/>
    </row>
    <row r="47" spans="1:27" ht="14.25" customHeight="1">
      <c r="A47" s="1"/>
      <c r="B47" s="1"/>
      <c r="C47" s="39" t="s">
        <v>23</v>
      </c>
      <c r="D47" s="39" t="s">
        <v>24</v>
      </c>
      <c r="E47" s="39" t="s">
        <v>25</v>
      </c>
      <c r="F47" s="39"/>
      <c r="G47" s="1"/>
      <c r="H47" s="1"/>
      <c r="I47" s="1"/>
      <c r="J47" s="1"/>
      <c r="K47" s="1"/>
      <c r="L47" s="1"/>
      <c r="M47" s="1"/>
      <c r="N47" s="1"/>
      <c r="O47" s="1"/>
      <c r="P47" s="1"/>
      <c r="Q47" s="1"/>
      <c r="R47" s="1"/>
      <c r="S47" s="1"/>
      <c r="T47" s="1"/>
      <c r="U47" s="1"/>
      <c r="V47" s="1"/>
      <c r="W47" s="1"/>
      <c r="X47" s="1"/>
      <c r="Y47" s="1"/>
      <c r="Z47" s="1"/>
      <c r="AA47" s="1"/>
    </row>
    <row r="48" spans="1:27" ht="14.25" customHeight="1">
      <c r="A48" s="1"/>
      <c r="B48" s="4">
        <v>1</v>
      </c>
      <c r="C48" s="41" t="s">
        <v>124</v>
      </c>
      <c r="D48" s="41" t="s">
        <v>125</v>
      </c>
      <c r="E48" s="41" t="s">
        <v>126</v>
      </c>
      <c r="F48" s="1"/>
      <c r="G48" s="1"/>
      <c r="H48" s="1"/>
      <c r="I48" s="1"/>
      <c r="J48" s="1"/>
      <c r="K48" s="1"/>
      <c r="L48" s="1"/>
      <c r="M48" s="1"/>
      <c r="N48" s="1"/>
      <c r="O48" s="1"/>
      <c r="P48" s="1"/>
      <c r="Q48" s="1"/>
      <c r="R48" s="1"/>
      <c r="S48" s="1"/>
      <c r="T48" s="1"/>
      <c r="U48" s="1"/>
      <c r="V48" s="1"/>
      <c r="W48" s="1"/>
      <c r="X48" s="1"/>
      <c r="Y48" s="1"/>
      <c r="Z48" s="1"/>
      <c r="AA48" s="1"/>
    </row>
    <row r="49" spans="1:27" ht="14.25" customHeight="1">
      <c r="A49" s="1"/>
      <c r="B49" s="4">
        <v>2</v>
      </c>
      <c r="C49" s="42" t="s">
        <v>127</v>
      </c>
      <c r="D49" s="42" t="s">
        <v>128</v>
      </c>
      <c r="E49" s="41" t="s">
        <v>129</v>
      </c>
      <c r="F49" s="1"/>
      <c r="G49" s="1"/>
      <c r="H49" s="1"/>
      <c r="I49" s="1"/>
      <c r="J49" s="1"/>
      <c r="K49" s="1"/>
      <c r="L49" s="1"/>
      <c r="M49" s="1"/>
      <c r="N49" s="1"/>
      <c r="O49" s="1"/>
      <c r="P49" s="1"/>
      <c r="Q49" s="1"/>
      <c r="R49" s="1"/>
      <c r="S49" s="1"/>
      <c r="T49" s="1"/>
      <c r="U49" s="1"/>
      <c r="V49" s="1"/>
      <c r="W49" s="1"/>
      <c r="X49" s="1"/>
      <c r="Y49" s="1"/>
      <c r="Z49" s="1"/>
      <c r="AA49" s="1"/>
    </row>
    <row r="50" spans="1:27" ht="14.25" customHeight="1">
      <c r="A50" s="1"/>
      <c r="B50" s="4">
        <v>3</v>
      </c>
      <c r="C50" s="42" t="s">
        <v>130</v>
      </c>
      <c r="D50" s="42" t="s">
        <v>131</v>
      </c>
      <c r="E50" s="41" t="s">
        <v>132</v>
      </c>
      <c r="F50" s="1"/>
      <c r="G50" s="1"/>
      <c r="H50" s="1"/>
      <c r="I50" s="1"/>
      <c r="J50" s="1"/>
      <c r="K50" s="1"/>
      <c r="L50" s="1"/>
      <c r="M50" s="1"/>
      <c r="N50" s="1"/>
      <c r="O50" s="1"/>
      <c r="P50" s="1"/>
      <c r="Q50" s="1"/>
      <c r="R50" s="1"/>
      <c r="S50" s="1"/>
      <c r="T50" s="1"/>
      <c r="U50" s="1"/>
      <c r="V50" s="1"/>
      <c r="W50" s="1"/>
      <c r="X50" s="1"/>
      <c r="Y50" s="1"/>
      <c r="Z50" s="1"/>
      <c r="AA50" s="1"/>
    </row>
    <row r="51" spans="1:27" ht="14.25" customHeight="1">
      <c r="A51" s="1"/>
      <c r="B51" s="4">
        <v>4</v>
      </c>
      <c r="C51" s="41" t="s">
        <v>133</v>
      </c>
      <c r="D51" s="42" t="s">
        <v>134</v>
      </c>
      <c r="E51" s="41" t="s">
        <v>135</v>
      </c>
      <c r="F51" s="1"/>
      <c r="G51" s="1"/>
      <c r="H51" s="1"/>
      <c r="I51" s="1"/>
      <c r="J51" s="1"/>
      <c r="K51" s="1"/>
      <c r="L51" s="1"/>
      <c r="M51" s="1"/>
      <c r="N51" s="1"/>
      <c r="O51" s="1"/>
      <c r="P51" s="1"/>
      <c r="Q51" s="1"/>
      <c r="R51" s="1"/>
      <c r="S51" s="1"/>
      <c r="T51" s="1"/>
      <c r="U51" s="1"/>
      <c r="V51" s="1"/>
      <c r="W51" s="1"/>
      <c r="X51" s="1"/>
      <c r="Y51" s="1"/>
      <c r="Z51" s="1"/>
      <c r="AA51" s="1"/>
    </row>
    <row r="52" spans="1:27" ht="14.25" customHeight="1">
      <c r="A52" s="1"/>
      <c r="B52" s="87" t="s">
        <v>26</v>
      </c>
      <c r="C52" s="83"/>
      <c r="D52" s="83"/>
      <c r="E52" s="83"/>
      <c r="F52" s="84"/>
      <c r="G52" s="1"/>
      <c r="H52" s="1"/>
      <c r="I52" s="1"/>
      <c r="J52" s="1"/>
      <c r="K52" s="1"/>
      <c r="L52" s="1"/>
      <c r="M52" s="1"/>
      <c r="N52" s="1"/>
      <c r="O52" s="1"/>
      <c r="P52" s="1"/>
      <c r="Q52" s="1"/>
      <c r="R52" s="1"/>
      <c r="S52" s="1"/>
      <c r="T52" s="1"/>
      <c r="U52" s="1"/>
      <c r="V52" s="1"/>
      <c r="W52" s="1"/>
      <c r="X52" s="1"/>
      <c r="Y52" s="1"/>
      <c r="Z52" s="1"/>
      <c r="AA52" s="1"/>
    </row>
    <row r="53" spans="1:27" ht="14.25" customHeight="1">
      <c r="A53" s="1"/>
      <c r="B53" s="1"/>
      <c r="C53" s="39" t="s">
        <v>27</v>
      </c>
      <c r="D53" s="39" t="s">
        <v>28</v>
      </c>
      <c r="E53" s="39" t="s">
        <v>29</v>
      </c>
      <c r="F53" s="39" t="s">
        <v>18</v>
      </c>
      <c r="G53" s="1"/>
      <c r="H53" s="1"/>
      <c r="I53" s="1"/>
      <c r="J53" s="1"/>
      <c r="K53" s="1"/>
      <c r="L53" s="1"/>
      <c r="M53" s="1"/>
      <c r="N53" s="1"/>
      <c r="O53" s="1"/>
      <c r="P53" s="1"/>
      <c r="Q53" s="1"/>
      <c r="R53" s="1"/>
      <c r="S53" s="1"/>
      <c r="T53" s="1"/>
      <c r="U53" s="1"/>
      <c r="V53" s="1"/>
      <c r="W53" s="1"/>
      <c r="X53" s="1"/>
      <c r="Y53" s="1"/>
      <c r="Z53" s="1"/>
      <c r="AA53" s="1"/>
    </row>
    <row r="54" spans="1:27" ht="14.25" customHeight="1">
      <c r="A54" s="1"/>
      <c r="B54" s="4">
        <v>1</v>
      </c>
      <c r="C54" s="41" t="s">
        <v>136</v>
      </c>
      <c r="D54" s="41" t="s">
        <v>137</v>
      </c>
      <c r="E54" s="41" t="s">
        <v>138</v>
      </c>
      <c r="F54" s="41" t="s">
        <v>139</v>
      </c>
      <c r="G54" s="1"/>
      <c r="H54" s="1"/>
      <c r="I54" s="1"/>
      <c r="J54" s="1"/>
      <c r="K54" s="1"/>
      <c r="L54" s="1"/>
      <c r="M54" s="1"/>
      <c r="N54" s="1"/>
      <c r="O54" s="1"/>
      <c r="P54" s="1"/>
      <c r="Q54" s="1"/>
      <c r="R54" s="1"/>
      <c r="S54" s="1"/>
      <c r="T54" s="1"/>
      <c r="U54" s="1"/>
      <c r="V54" s="1"/>
      <c r="W54" s="1"/>
      <c r="X54" s="1"/>
      <c r="Y54" s="1"/>
      <c r="Z54" s="1"/>
      <c r="AA54" s="1"/>
    </row>
    <row r="55" spans="1:27" ht="14.25" customHeight="1">
      <c r="A55" s="1"/>
      <c r="B55" s="4">
        <v>2</v>
      </c>
      <c r="C55" s="41" t="s">
        <v>140</v>
      </c>
      <c r="D55" s="42" t="s">
        <v>141</v>
      </c>
      <c r="E55" s="42" t="s">
        <v>142</v>
      </c>
      <c r="F55" s="41" t="s">
        <v>143</v>
      </c>
      <c r="G55" s="1"/>
      <c r="H55" s="1"/>
      <c r="I55" s="1"/>
      <c r="J55" s="1"/>
      <c r="K55" s="1"/>
      <c r="L55" s="1"/>
      <c r="M55" s="1"/>
      <c r="N55" s="1"/>
      <c r="O55" s="1"/>
      <c r="P55" s="1"/>
      <c r="Q55" s="1"/>
      <c r="R55" s="1"/>
      <c r="S55" s="1"/>
      <c r="T55" s="1"/>
      <c r="U55" s="1"/>
      <c r="V55" s="1"/>
      <c r="W55" s="1"/>
      <c r="X55" s="1"/>
      <c r="Y55" s="1"/>
      <c r="Z55" s="1"/>
      <c r="AA55" s="1"/>
    </row>
    <row r="56" spans="1:27" ht="14.25" customHeight="1">
      <c r="A56" s="1"/>
      <c r="B56" s="4">
        <v>3</v>
      </c>
      <c r="C56" s="41" t="s">
        <v>144</v>
      </c>
      <c r="D56" s="44" t="s">
        <v>145</v>
      </c>
      <c r="E56" s="42" t="s">
        <v>146</v>
      </c>
      <c r="F56" s="48" t="s">
        <v>147</v>
      </c>
      <c r="G56" s="1"/>
      <c r="H56" s="1"/>
      <c r="I56" s="1"/>
      <c r="J56" s="1"/>
      <c r="K56" s="1"/>
      <c r="L56" s="1"/>
      <c r="M56" s="1"/>
      <c r="N56" s="1"/>
      <c r="O56" s="1"/>
      <c r="P56" s="1"/>
      <c r="Q56" s="1"/>
      <c r="R56" s="1"/>
      <c r="S56" s="1"/>
      <c r="T56" s="1"/>
      <c r="U56" s="1"/>
      <c r="V56" s="1"/>
      <c r="W56" s="1"/>
      <c r="X56" s="1"/>
      <c r="Y56" s="1"/>
      <c r="Z56" s="1"/>
      <c r="AA56" s="1"/>
    </row>
    <row r="57" spans="1:27" ht="14.25" customHeight="1">
      <c r="A57" s="1"/>
      <c r="B57" s="4">
        <v>4</v>
      </c>
      <c r="C57" s="44" t="s">
        <v>148</v>
      </c>
      <c r="D57" s="49" t="s">
        <v>149</v>
      </c>
      <c r="E57" s="44" t="s">
        <v>150</v>
      </c>
      <c r="F57" s="44" t="s">
        <v>151</v>
      </c>
      <c r="G57" s="1"/>
      <c r="H57" s="1"/>
      <c r="I57" s="1"/>
      <c r="J57" s="1"/>
      <c r="K57" s="1"/>
      <c r="L57" s="1"/>
      <c r="M57" s="1"/>
      <c r="N57" s="1"/>
      <c r="O57" s="1"/>
      <c r="P57" s="1"/>
      <c r="Q57" s="1"/>
      <c r="R57" s="1"/>
      <c r="S57" s="1"/>
      <c r="T57" s="1"/>
      <c r="U57" s="1"/>
      <c r="V57" s="1"/>
      <c r="W57" s="1"/>
      <c r="X57" s="1"/>
      <c r="Y57" s="1"/>
      <c r="Z57" s="1"/>
      <c r="AA57" s="1"/>
    </row>
    <row r="58" spans="1:27" ht="14.25" customHeight="1">
      <c r="A58" s="1"/>
      <c r="B58" s="86" t="s">
        <v>30</v>
      </c>
      <c r="C58" s="83"/>
      <c r="D58" s="83"/>
      <c r="E58" s="83"/>
      <c r="F58" s="84"/>
      <c r="G58" s="1"/>
      <c r="H58" s="1"/>
      <c r="I58" s="1"/>
      <c r="J58" s="1"/>
      <c r="K58" s="1"/>
      <c r="L58" s="1"/>
      <c r="M58" s="1"/>
      <c r="N58" s="1"/>
      <c r="O58" s="1"/>
      <c r="P58" s="1"/>
      <c r="Q58" s="1"/>
      <c r="R58" s="1"/>
      <c r="S58" s="1"/>
      <c r="T58" s="1"/>
      <c r="U58" s="1"/>
      <c r="V58" s="1"/>
      <c r="W58" s="1"/>
      <c r="X58" s="1"/>
      <c r="Y58" s="1"/>
      <c r="Z58" s="1"/>
      <c r="AA58" s="1"/>
    </row>
    <row r="59" spans="1:27" ht="14.25" customHeight="1">
      <c r="A59" s="1"/>
      <c r="B59" s="1"/>
      <c r="C59" s="46" t="s">
        <v>152</v>
      </c>
      <c r="D59" s="46" t="s">
        <v>153</v>
      </c>
      <c r="E59" s="46" t="s">
        <v>24</v>
      </c>
      <c r="F59" s="46" t="s">
        <v>154</v>
      </c>
      <c r="G59" s="1"/>
      <c r="H59" s="1"/>
      <c r="I59" s="1"/>
      <c r="J59" s="1"/>
      <c r="K59" s="1"/>
      <c r="L59" s="1"/>
      <c r="M59" s="1"/>
      <c r="N59" s="1"/>
      <c r="O59" s="1"/>
      <c r="P59" s="1"/>
      <c r="Q59" s="1"/>
      <c r="R59" s="1"/>
      <c r="S59" s="1"/>
      <c r="T59" s="1"/>
      <c r="U59" s="1"/>
      <c r="V59" s="1"/>
      <c r="W59" s="1"/>
      <c r="X59" s="1"/>
      <c r="Y59" s="1"/>
      <c r="Z59" s="1"/>
      <c r="AA59" s="1"/>
    </row>
    <row r="60" spans="1:27" ht="14.25" customHeight="1">
      <c r="A60" s="1"/>
      <c r="B60" s="4">
        <v>1</v>
      </c>
      <c r="C60" s="44" t="s">
        <v>155</v>
      </c>
      <c r="D60" s="41" t="s">
        <v>156</v>
      </c>
      <c r="E60" s="41" t="s">
        <v>157</v>
      </c>
      <c r="F60" s="41" t="s">
        <v>158</v>
      </c>
      <c r="G60" s="1"/>
      <c r="H60" s="1"/>
      <c r="I60" s="1"/>
      <c r="J60" s="1"/>
      <c r="K60" s="1"/>
      <c r="L60" s="1"/>
      <c r="M60" s="1"/>
      <c r="N60" s="1"/>
      <c r="O60" s="1"/>
      <c r="P60" s="1"/>
      <c r="Q60" s="1"/>
      <c r="R60" s="1"/>
      <c r="S60" s="1"/>
      <c r="T60" s="1"/>
      <c r="U60" s="1"/>
      <c r="V60" s="1"/>
      <c r="W60" s="1"/>
      <c r="X60" s="1"/>
      <c r="Y60" s="1"/>
      <c r="Z60" s="1"/>
      <c r="AA60" s="1"/>
    </row>
    <row r="61" spans="1:27" ht="14.25" customHeight="1">
      <c r="A61" s="1"/>
      <c r="B61" s="4">
        <v>2</v>
      </c>
      <c r="C61" s="44" t="s">
        <v>159</v>
      </c>
      <c r="D61" s="41" t="s">
        <v>160</v>
      </c>
      <c r="E61" s="41" t="s">
        <v>161</v>
      </c>
      <c r="F61" s="41" t="s">
        <v>162</v>
      </c>
      <c r="G61" s="1"/>
      <c r="H61" s="1"/>
      <c r="I61" s="1"/>
      <c r="J61" s="1"/>
      <c r="K61" s="1"/>
      <c r="L61" s="1"/>
      <c r="M61" s="1"/>
      <c r="N61" s="1"/>
      <c r="O61" s="1"/>
      <c r="P61" s="1"/>
      <c r="Q61" s="1"/>
      <c r="R61" s="1"/>
      <c r="S61" s="1"/>
      <c r="T61" s="1"/>
      <c r="U61" s="1"/>
      <c r="V61" s="1"/>
      <c r="W61" s="1"/>
      <c r="X61" s="1"/>
      <c r="Y61" s="1"/>
      <c r="Z61" s="1"/>
      <c r="AA61" s="1"/>
    </row>
    <row r="62" spans="1:27" ht="14.25" customHeight="1">
      <c r="A62" s="1"/>
      <c r="B62" s="4">
        <v>3</v>
      </c>
      <c r="C62" s="41" t="s">
        <v>163</v>
      </c>
      <c r="D62" s="41" t="s">
        <v>164</v>
      </c>
      <c r="E62" s="41" t="s">
        <v>165</v>
      </c>
      <c r="F62" s="44" t="s">
        <v>166</v>
      </c>
      <c r="G62" s="1"/>
      <c r="H62" s="1"/>
      <c r="I62" s="1"/>
      <c r="J62" s="1"/>
      <c r="K62" s="1"/>
      <c r="L62" s="1"/>
      <c r="M62" s="1"/>
      <c r="N62" s="1"/>
      <c r="O62" s="1"/>
      <c r="P62" s="1"/>
      <c r="Q62" s="1"/>
      <c r="R62" s="1"/>
      <c r="S62" s="1"/>
      <c r="T62" s="1"/>
      <c r="U62" s="1"/>
      <c r="V62" s="1"/>
      <c r="W62" s="1"/>
      <c r="X62" s="1"/>
      <c r="Y62" s="1"/>
      <c r="Z62" s="1"/>
      <c r="AA62" s="1"/>
    </row>
    <row r="63" spans="1:27" ht="14.25" customHeight="1">
      <c r="A63" s="1"/>
      <c r="B63" s="4">
        <v>4</v>
      </c>
      <c r="C63" s="44" t="s">
        <v>167</v>
      </c>
      <c r="D63" s="41" t="s">
        <v>168</v>
      </c>
      <c r="E63" s="41" t="s">
        <v>169</v>
      </c>
      <c r="F63" s="44" t="s">
        <v>170</v>
      </c>
      <c r="G63" s="1"/>
      <c r="H63" s="1"/>
      <c r="I63" s="1"/>
      <c r="J63" s="1"/>
      <c r="K63" s="1"/>
      <c r="L63" s="1"/>
      <c r="M63" s="1"/>
      <c r="N63" s="1"/>
      <c r="O63" s="1"/>
      <c r="P63" s="1"/>
      <c r="Q63" s="1"/>
      <c r="R63" s="1"/>
      <c r="S63" s="1"/>
      <c r="T63" s="1"/>
      <c r="U63" s="1"/>
      <c r="V63" s="1"/>
      <c r="W63" s="1"/>
      <c r="X63" s="1"/>
      <c r="Y63" s="1"/>
      <c r="Z63" s="1"/>
      <c r="AA63" s="1"/>
    </row>
    <row r="64" spans="1:27" ht="14.2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ht="14.2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ht="14.2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ht="14.2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ht="14.2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ht="14.2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ht="14.2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ht="14.2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ht="14.2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ht="14.2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ht="14.2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ht="14.2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ht="14.2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ht="14.2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ht="14.2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ht="14.2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14.2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row>
    <row r="81" spans="1:27" ht="14.2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ht="14.2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ht="14.2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ht="14.2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ht="14.2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ht="14.2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ht="14.2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ht="14.2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ht="14.2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ht="14.2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ht="14.2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ht="14.2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ht="14.2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ht="14.2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ht="14.2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ht="14.2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ht="14.2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ht="14.2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ht="14.2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ht="14.2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ht="14.2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ht="14.2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ht="14.2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ht="14.2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ht="14.2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ht="14.2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ht="14.2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ht="14.2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ht="14.2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ht="14.2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ht="14.2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ht="14.2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ht="14.2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ht="14.2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ht="14.2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ht="14.2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ht="14.2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ht="14.2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ht="14.2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ht="14.2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ht="14.2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ht="14.2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ht="14.2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ht="14.2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ht="14.2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ht="14.2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ht="14.2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ht="14.2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ht="14.2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ht="14.2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ht="14.2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ht="14.2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ht="14.2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ht="14.2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ht="14.2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ht="14.2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ht="14.2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ht="14.2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ht="14.2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14.2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row>
    <row r="142" spans="1:27" ht="14.2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row>
    <row r="143" spans="1:27" ht="14.2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row>
    <row r="144" spans="1:27" ht="14.2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row>
    <row r="145" spans="1:27" ht="14.2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row>
    <row r="146" spans="1:27" ht="14.2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row>
    <row r="147" spans="1:27" ht="14.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row>
    <row r="148" spans="1:27" ht="14.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row>
    <row r="149" spans="1:27" ht="14.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row>
    <row r="150" spans="1:27" ht="14.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row>
    <row r="151" spans="1:27" ht="14.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ht="14.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row>
    <row r="153" spans="1:27" ht="14.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ht="14.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row>
    <row r="155" spans="1:27" ht="14.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row>
    <row r="156" spans="1:27" ht="14.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row>
    <row r="157" spans="1:27" ht="14.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row>
    <row r="158" spans="1:27" ht="14.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row>
    <row r="159" spans="1:27" ht="14.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row>
    <row r="160" spans="1:27" ht="14.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row>
    <row r="161" spans="1:27" ht="14.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row>
    <row r="162" spans="1:27"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row>
    <row r="163" spans="1:27" ht="14.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row>
    <row r="164" spans="1:27" ht="14.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row>
    <row r="165" spans="1:27" ht="14.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row>
    <row r="166" spans="1:27" ht="14.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row>
    <row r="167" spans="1:27" ht="14.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row>
    <row r="168" spans="1:27" ht="14.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row>
    <row r="169" spans="1:27" ht="14.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row>
    <row r="170" spans="1:27" ht="14.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row>
    <row r="171" spans="1:27" ht="14.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row>
    <row r="172" spans="1:27" ht="14.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row>
    <row r="173" spans="1:27" ht="14.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row>
    <row r="174" spans="1:27" ht="14.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row>
    <row r="175" spans="1:27" ht="14.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row>
    <row r="176" spans="1:27" ht="14.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row>
    <row r="177" spans="1:27" ht="14.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row>
    <row r="178" spans="1:27" ht="14.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ht="14.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ht="14.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ht="14.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ht="14.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ht="14.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ht="14.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ht="14.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ht="14.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ht="14.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ht="14.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ht="14.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ht="14.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ht="14.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ht="14.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ht="14.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ht="14.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ht="14.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ht="14.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ht="14.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ht="14.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ht="14.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ht="14.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row r="201" spans="1:27" ht="14.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row>
    <row r="202" spans="1:27" ht="14.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4.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4.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4.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4.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4.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4.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4.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4.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4.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4.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4.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4.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4.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4.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4.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4.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4.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4.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4.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4.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4.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4.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4.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4.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4.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4.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4.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4.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4.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4.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4.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4.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4.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4.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4.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4.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4.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4.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4.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4.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4.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4.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4.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4.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4.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4.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4.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4.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4.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4.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4.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4.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4.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4.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4.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4.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4.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4.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4.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4.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4.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4.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4.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4.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4.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4.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4.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4.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4.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4.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4.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4.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4.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4.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4.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4.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4.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4.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4.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4.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4.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4.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4.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4.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4.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4.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4.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4.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4.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4.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4.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4.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4.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4.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4.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4.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4.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4.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4.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4.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4.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4.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4.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4.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4.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4.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4.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4.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4.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4.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4.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4.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4.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4.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4.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4.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4.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4.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4.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4.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4.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4.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4.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4.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4.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4.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4.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4.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4.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4.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4.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4.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4.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4.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4.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4.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4.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4.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4.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4.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4.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4.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4.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4.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4.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4.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4.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4.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4.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4.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4.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4.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4.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4.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4.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4.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4.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4.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4.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4.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4.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4.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4.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4.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4.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4.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4.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4.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4.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4.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4.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4.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4.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4.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4.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4.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4.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4.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4.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4.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4.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4.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4.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4.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4.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4.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4.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4.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4.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4.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4.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4.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4.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4.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4.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4.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4.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4.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4.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4.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t="14.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t="14.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t="14.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t="14.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t="14.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t="14.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t="14.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t="14.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t="14.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t="14.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t="14.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t="14.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t="14.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t="14.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t="14.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t="14.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t="14.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t="14.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t="14.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t="14.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t="14.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t="14.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t="14.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t="14.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t="14.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t="14.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t="14.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t="14.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t="14.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t="14.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t="14.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t="14.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t="14.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t="14.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t="14.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t="14.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t="14.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t="14.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t="14.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t="14.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t="14.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t="14.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t="14.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t="14.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t="14.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t="14.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t="14.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t="14.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t="14.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t="14.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t="14.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t="14.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t="14.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t="14.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t="14.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t="14.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t="14.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t="14.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t="14.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t="14.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t="14.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t="14.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t="14.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t="14.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t="14.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t="14.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t="14.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t="14.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t="14.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t="14.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t="14.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t="14.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t="14.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t="14.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t="14.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4.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t="14.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t="14.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t="14.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t="14.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t="14.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4.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t="14.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t="14.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t="14.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t="14.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t="14.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t="14.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t="14.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t="14.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t="14.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t="14.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t="14.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t="14.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t="14.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t="14.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t="14.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t="14.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ht="14.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ht="14.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ht="14.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ht="14.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ht="14.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ht="14.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ht="14.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ht="14.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ht="14.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ht="14.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ht="14.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ht="14.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ht="14.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ht="14.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row>
    <row r="515" spans="1:27" ht="14.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ht="14.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row>
    <row r="517" spans="1:27" ht="14.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ht="14.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row>
    <row r="519" spans="1:27" ht="14.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ht="14.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row>
    <row r="521" spans="1:27" ht="14.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row>
    <row r="522" spans="1:27" ht="14.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row>
    <row r="523" spans="1:27" ht="14.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row>
    <row r="524" spans="1:27" ht="14.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ht="14.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ht="14.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ht="14.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ht="14.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ht="14.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ht="14.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row>
    <row r="531" spans="1:27" ht="14.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ht="14.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row>
    <row r="533" spans="1:27" ht="14.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ht="14.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row>
    <row r="535" spans="1:27" ht="14.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ht="14.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row>
    <row r="537" spans="1:27" ht="14.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row>
    <row r="538" spans="1:27" ht="14.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row>
    <row r="539" spans="1:27" ht="14.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row>
    <row r="540" spans="1:27" ht="14.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row>
    <row r="541" spans="1:27" ht="14.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row>
    <row r="542" spans="1:27" ht="14.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row>
    <row r="543" spans="1:27" ht="14.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row>
    <row r="544" spans="1:27" ht="14.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row>
    <row r="545" spans="1:27" ht="14.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row>
    <row r="546" spans="1:27" ht="14.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row>
    <row r="547" spans="1:27" ht="14.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row>
    <row r="548" spans="1:27" ht="14.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row>
    <row r="549" spans="1:27" ht="14.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row>
    <row r="550" spans="1:27" ht="14.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row>
    <row r="551" spans="1:27" ht="14.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row>
    <row r="552" spans="1:27" ht="14.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ht="14.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ht="14.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ht="14.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row>
    <row r="556" spans="1:27" ht="14.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ht="14.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ht="14.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ht="14.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ht="14.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ht="14.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row>
    <row r="562" spans="1:27" ht="14.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row>
    <row r="563" spans="1:27" ht="14.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ht="14.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row>
    <row r="565" spans="1:27" ht="14.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ht="14.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row>
    <row r="567" spans="1:27" ht="14.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row>
    <row r="568" spans="1:27" ht="14.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row>
    <row r="569" spans="1:27" ht="14.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row>
    <row r="570" spans="1:27" ht="14.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row>
    <row r="571" spans="1:27" ht="14.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ht="14.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ht="14.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ht="14.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ht="14.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ht="14.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ht="14.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row>
    <row r="578" spans="1:27" ht="14.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ht="14.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row>
    <row r="580" spans="1:27" ht="14.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ht="14.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row>
    <row r="582" spans="1:27" ht="14.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ht="14.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row>
    <row r="584" spans="1:27" ht="14.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row>
    <row r="585" spans="1:27" ht="14.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row>
    <row r="586" spans="1:27" ht="14.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row>
    <row r="587" spans="1:27" ht="14.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row>
    <row r="588" spans="1:27" ht="14.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row>
    <row r="589" spans="1:27" ht="14.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row>
    <row r="590" spans="1:27" ht="14.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ht="14.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ht="14.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ht="14.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ht="14.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ht="14.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ht="14.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row>
    <row r="597" spans="1:27" ht="14.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ht="14.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row>
    <row r="599" spans="1:27" ht="14.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ht="14.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row>
    <row r="601" spans="1:27" ht="14.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ht="14.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row>
    <row r="603" spans="1:27" ht="14.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row>
    <row r="604" spans="1:27" ht="14.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row>
    <row r="605" spans="1:27" ht="14.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row>
    <row r="606" spans="1:27" ht="14.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row>
    <row r="607" spans="1:27" ht="14.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ht="14.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ht="14.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ht="14.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ht="14.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ht="14.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ht="14.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row>
    <row r="614" spans="1:27" ht="14.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ht="14.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row>
    <row r="616" spans="1:27" ht="14.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ht="14.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row>
    <row r="618" spans="1:27" ht="14.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ht="14.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row>
    <row r="620" spans="1:27" ht="14.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row>
    <row r="621" spans="1:27" ht="14.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row>
    <row r="622" spans="1:27" ht="14.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row>
    <row r="623" spans="1:27" ht="14.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row>
    <row r="624" spans="1:27" ht="14.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ht="14.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ht="14.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ht="14.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ht="14.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ht="14.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ht="14.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row>
    <row r="631" spans="1:27" ht="14.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ht="14.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row>
    <row r="633" spans="1:27" ht="14.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ht="14.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row>
    <row r="635" spans="1:27" ht="14.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ht="14.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row>
    <row r="637" spans="1:27" ht="14.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row>
    <row r="638" spans="1:27" ht="14.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row>
    <row r="639" spans="1:27" ht="14.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row>
    <row r="640" spans="1:27" ht="14.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row>
    <row r="641" spans="1:27" ht="14.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ht="14.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ht="14.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ht="14.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ht="14.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ht="14.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ht="14.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row>
    <row r="648" spans="1:27" ht="14.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ht="14.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row>
    <row r="650" spans="1:27" ht="14.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ht="14.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row>
    <row r="652" spans="1:27" ht="14.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ht="14.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row>
    <row r="654" spans="1:27" ht="14.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row>
    <row r="655" spans="1:27" ht="14.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row>
    <row r="656" spans="1:27" ht="14.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row>
    <row r="657" spans="1:27" ht="14.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row>
    <row r="658" spans="1:27" ht="14.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ht="14.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ht="14.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ht="14.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ht="14.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ht="14.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ht="14.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row>
    <row r="665" spans="1:27" ht="14.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ht="14.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row>
    <row r="667" spans="1:27" ht="14.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ht="14.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row>
    <row r="669" spans="1:27" ht="14.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ht="14.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row>
    <row r="671" spans="1:27" ht="14.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row>
    <row r="672" spans="1:27" ht="14.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row>
    <row r="673" spans="1:27" ht="14.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row>
    <row r="674" spans="1:27" ht="14.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row>
    <row r="675" spans="1:27" ht="14.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row>
    <row r="676" spans="1:27" ht="14.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row>
    <row r="677" spans="1:27" ht="14.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row>
    <row r="678" spans="1:27" ht="14.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row>
    <row r="679" spans="1:27" ht="14.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row>
    <row r="680" spans="1:27" ht="14.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row>
    <row r="681" spans="1:27" ht="14.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row>
    <row r="682" spans="1:27" ht="14.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row>
    <row r="683" spans="1:27" ht="14.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row>
    <row r="684" spans="1:27" ht="14.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row>
    <row r="685" spans="1:27" ht="14.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row>
    <row r="686" spans="1:27" ht="14.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row>
    <row r="687" spans="1:27" ht="14.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row>
    <row r="688" spans="1:27" ht="14.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row>
    <row r="689" spans="1:27" ht="14.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row>
    <row r="690" spans="1:27" ht="14.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row>
    <row r="691" spans="1:27" ht="14.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row>
    <row r="692" spans="1:27" ht="14.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row>
    <row r="693" spans="1:27" ht="14.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row>
    <row r="694" spans="1:27" ht="14.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row>
    <row r="695" spans="1:27" ht="14.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row>
    <row r="696" spans="1:27" ht="14.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row>
    <row r="697" spans="1:27" ht="14.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row>
    <row r="698" spans="1:27" ht="14.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ht="14.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row>
    <row r="700" spans="1:27" ht="14.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ht="14.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row>
    <row r="702" spans="1:27" ht="14.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ht="14.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row>
    <row r="704" spans="1:27" ht="14.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ht="14.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row>
    <row r="706" spans="1:27" ht="14.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ht="14.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row>
    <row r="708" spans="1:27" ht="14.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ht="14.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row>
    <row r="710" spans="1:27" ht="14.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row>
    <row r="711" spans="1:27" ht="14.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row>
    <row r="712" spans="1:27" ht="14.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row>
    <row r="713" spans="1:27" ht="14.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row>
    <row r="714" spans="1:27" ht="14.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row>
    <row r="715" spans="1:27" ht="14.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row>
    <row r="716" spans="1:27" ht="14.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row>
    <row r="717" spans="1:27" ht="14.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row>
    <row r="718" spans="1:27" ht="14.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row>
    <row r="719" spans="1:27" ht="14.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row>
    <row r="720" spans="1:27" ht="14.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row>
    <row r="721" spans="1:27" ht="14.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row>
    <row r="722" spans="1:27" ht="14.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row>
    <row r="723" spans="1:27" ht="14.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row>
    <row r="724" spans="1:27" ht="14.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row>
    <row r="725" spans="1:27" ht="14.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row>
    <row r="726" spans="1:27" ht="14.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row>
    <row r="727" spans="1:27" ht="14.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row>
    <row r="728" spans="1:27" ht="14.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row>
    <row r="729" spans="1:27" ht="14.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row>
    <row r="730" spans="1:27" ht="14.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row>
    <row r="731" spans="1:27" ht="14.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row>
    <row r="732" spans="1:27" ht="14.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row>
    <row r="733" spans="1:27" ht="14.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row>
    <row r="734" spans="1:27" ht="14.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row>
    <row r="735" spans="1:27" ht="14.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row>
    <row r="736" spans="1:27" ht="14.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row>
    <row r="737" spans="1:27" ht="14.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row>
    <row r="738" spans="1:27" ht="14.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row>
    <row r="739" spans="1:27" ht="14.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ht="14.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row>
    <row r="741" spans="1:27" ht="14.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ht="14.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row>
    <row r="743" spans="1:27" ht="14.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ht="14.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row>
    <row r="745" spans="1:27" ht="14.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ht="14.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row>
    <row r="747" spans="1:27" ht="14.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ht="14.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row>
    <row r="749" spans="1:27" ht="14.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ht="14.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row>
    <row r="751" spans="1:27" ht="14.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row>
    <row r="752" spans="1:27" ht="14.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row>
    <row r="753" spans="1:27" ht="14.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row>
    <row r="754" spans="1:27" ht="14.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row>
    <row r="755" spans="1:27" ht="14.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row>
    <row r="756" spans="1:27" ht="14.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row>
    <row r="757" spans="1:27" ht="14.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row>
    <row r="758" spans="1:27" ht="14.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ht="14.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row>
    <row r="760" spans="1:27" ht="14.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ht="14.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row>
    <row r="762" spans="1:27" ht="14.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ht="14.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row>
    <row r="764" spans="1:27" ht="14.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ht="14.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row>
    <row r="766" spans="1:27" ht="14.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ht="14.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row>
    <row r="768" spans="1:27" ht="14.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ht="14.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row>
    <row r="770" spans="1:27" ht="14.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row>
    <row r="771" spans="1:27" ht="14.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row>
    <row r="772" spans="1:27" ht="14.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row>
    <row r="773" spans="1:27" ht="14.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row>
    <row r="774" spans="1:27" ht="14.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row>
    <row r="775" spans="1:27" ht="14.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ht="14.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row>
    <row r="777" spans="1:27" ht="14.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ht="14.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row>
    <row r="779" spans="1:27" ht="14.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ht="14.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row>
    <row r="781" spans="1:27" ht="14.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ht="14.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row>
    <row r="783" spans="1:27" ht="14.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ht="14.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row>
    <row r="785" spans="1:27" ht="14.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ht="14.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row>
    <row r="787" spans="1:27" ht="14.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row>
    <row r="788" spans="1:27" ht="14.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row>
    <row r="789" spans="1:27" ht="14.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row>
    <row r="790" spans="1:27" ht="14.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row>
    <row r="791" spans="1:27" ht="14.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row>
    <row r="792" spans="1:27" ht="14.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row>
    <row r="793" spans="1:27" ht="14.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row>
    <row r="794" spans="1:27" ht="14.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row>
    <row r="795" spans="1:27" ht="14.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row>
    <row r="796" spans="1:27" ht="14.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row>
    <row r="797" spans="1:27" ht="14.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row>
    <row r="798" spans="1:27" ht="14.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row>
    <row r="799" spans="1:27" ht="14.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row>
    <row r="800" spans="1:27" ht="14.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ht="14.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ht="14.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row>
    <row r="803" spans="1:27" ht="14.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ht="14.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row>
    <row r="805" spans="1:27" ht="14.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ht="14.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ht="14.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ht="14.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row>
    <row r="809" spans="1:27" ht="14.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ht="14.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row>
    <row r="811" spans="1:27" ht="14.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row>
    <row r="812" spans="1:27" ht="14.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row>
    <row r="813" spans="1:27" ht="14.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row>
    <row r="814" spans="1:27" ht="14.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row>
    <row r="815" spans="1:27" ht="14.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row>
    <row r="816" spans="1:27" ht="14.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row>
    <row r="817" spans="1:27" ht="14.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row>
    <row r="818" spans="1:27" ht="14.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row>
    <row r="819" spans="1:27" ht="14.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row>
    <row r="820" spans="1:27" ht="14.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row>
    <row r="821" spans="1:27" ht="14.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row>
    <row r="822" spans="1:27" ht="14.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row>
    <row r="823" spans="1:27" ht="14.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row>
    <row r="824" spans="1:27" ht="14.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row>
    <row r="825" spans="1:27" ht="14.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row>
    <row r="826" spans="1:27" ht="14.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row>
    <row r="827" spans="1:27" ht="14.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row>
    <row r="828" spans="1:27" ht="14.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row>
    <row r="829" spans="1:27" ht="14.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row>
    <row r="830" spans="1:27" ht="14.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row>
    <row r="831" spans="1:27" ht="14.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row>
    <row r="832" spans="1:27" ht="14.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row>
    <row r="833" spans="1:27" ht="14.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row>
    <row r="834" spans="1:27" ht="14.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row>
    <row r="835" spans="1:27" ht="14.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row>
    <row r="836" spans="1:27" ht="14.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row>
    <row r="837" spans="1:27" ht="14.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row>
    <row r="838" spans="1:27" ht="14.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row>
    <row r="839" spans="1:27" ht="14.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row>
    <row r="840" spans="1:27" ht="14.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row>
    <row r="841" spans="1:27" ht="14.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row>
    <row r="842" spans="1:27" ht="14.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row>
    <row r="843" spans="1:27" ht="14.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row>
    <row r="844" spans="1:27" ht="14.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row>
    <row r="845" spans="1:27" ht="14.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row>
    <row r="846" spans="1:27" ht="14.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row>
    <row r="847" spans="1:27" ht="14.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row>
    <row r="848" spans="1:27" ht="14.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row>
    <row r="849" spans="1:27" ht="14.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row>
    <row r="850" spans="1:27" ht="14.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row>
    <row r="851" spans="1:27" ht="14.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row>
    <row r="852" spans="1:27" ht="14.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row>
    <row r="853" spans="1:27" ht="14.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row>
    <row r="854" spans="1:27" ht="14.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row>
    <row r="855" spans="1:27" ht="14.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row>
    <row r="856" spans="1:27" ht="14.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row>
    <row r="857" spans="1:27" ht="14.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row>
    <row r="858" spans="1:27" ht="14.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row>
    <row r="859" spans="1:27" ht="14.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row>
    <row r="860" spans="1:27" ht="14.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row>
    <row r="861" spans="1:27" ht="14.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row>
    <row r="862" spans="1:27" ht="14.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row>
    <row r="863" spans="1:27" ht="14.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row>
    <row r="864" spans="1:27" ht="14.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row>
    <row r="865" spans="1:27" ht="14.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row>
    <row r="866" spans="1:27" ht="14.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row>
    <row r="867" spans="1:27" ht="14.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row>
    <row r="868" spans="1:27" ht="14.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row>
    <row r="869" spans="1:27" ht="14.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row>
    <row r="870" spans="1:27" ht="14.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row>
    <row r="871" spans="1:27" ht="14.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row>
    <row r="872" spans="1:27" ht="14.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row>
    <row r="873" spans="1:27" ht="14.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row>
    <row r="874" spans="1:27" ht="14.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row>
    <row r="875" spans="1:27" ht="14.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row>
    <row r="876" spans="1:27" ht="14.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row>
    <row r="877" spans="1:27" ht="14.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row>
    <row r="878" spans="1:27" ht="14.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row>
    <row r="879" spans="1:27" ht="14.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row>
    <row r="880" spans="1:27" ht="14.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row>
    <row r="881" spans="1:27" ht="14.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row>
    <row r="882" spans="1:27" ht="14.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row>
    <row r="883" spans="1:27" ht="14.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row>
    <row r="884" spans="1:27" ht="14.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row>
    <row r="885" spans="1:27" ht="14.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row>
    <row r="886" spans="1:27" ht="14.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row>
    <row r="887" spans="1:27" ht="14.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row>
    <row r="888" spans="1:27" ht="14.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row>
    <row r="889" spans="1:27" ht="14.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row>
    <row r="890" spans="1:27" ht="14.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row>
    <row r="891" spans="1:27" ht="14.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row>
    <row r="892" spans="1:27" ht="14.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row>
    <row r="893" spans="1:27" ht="14.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row>
    <row r="894" spans="1:27" ht="14.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row>
    <row r="895" spans="1:27" ht="14.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row>
    <row r="896" spans="1:27" ht="14.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row>
    <row r="897" spans="1:27" ht="14.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row>
    <row r="898" spans="1:27" ht="14.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row>
    <row r="899" spans="1:27" ht="14.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row>
    <row r="900" spans="1:27" ht="14.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row>
    <row r="901" spans="1:27" ht="14.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row>
    <row r="902" spans="1:27" ht="14.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row>
    <row r="903" spans="1:27" ht="14.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row>
    <row r="904" spans="1:27" ht="14.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row>
    <row r="905" spans="1:27" ht="14.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row>
    <row r="906" spans="1:27" ht="14.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row>
    <row r="907" spans="1:27" ht="14.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row>
    <row r="908" spans="1:27" ht="14.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row>
    <row r="909" spans="1:27" ht="14.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row>
    <row r="910" spans="1:27" ht="14.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row>
    <row r="911" spans="1:27" ht="14.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row>
    <row r="912" spans="1:27" ht="14.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row>
    <row r="913" spans="1:27" ht="14.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row>
    <row r="914" spans="1:27" ht="14.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row>
    <row r="915" spans="1:27" ht="14.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row>
    <row r="916" spans="1:27" ht="14.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row>
    <row r="917" spans="1:27" ht="14.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row>
    <row r="918" spans="1:27" ht="14.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row>
    <row r="919" spans="1:27" ht="14.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row>
    <row r="920" spans="1:27" ht="14.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row>
    <row r="921" spans="1:27" ht="14.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row>
    <row r="922" spans="1:27" ht="14.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row>
    <row r="923" spans="1:27" ht="14.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row>
    <row r="924" spans="1:27" ht="14.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row>
    <row r="925" spans="1:27" ht="14.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row>
    <row r="926" spans="1:27" ht="14.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row>
    <row r="927" spans="1:27" ht="14.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row>
    <row r="928" spans="1:27" ht="14.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row>
    <row r="929" spans="1:27" ht="14.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row>
    <row r="930" spans="1:27" ht="14.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row>
    <row r="931" spans="1:27" ht="14.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row>
    <row r="932" spans="1:27" ht="14.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row>
    <row r="933" spans="1:27" ht="14.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row>
    <row r="934" spans="1:27" ht="14.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row>
    <row r="935" spans="1:27" ht="14.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row>
    <row r="936" spans="1:27" ht="14.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row>
    <row r="937" spans="1:27" ht="14.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row>
    <row r="938" spans="1:27" ht="14.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row>
    <row r="939" spans="1:27" ht="14.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row>
    <row r="940" spans="1:27" ht="14.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row>
    <row r="941" spans="1:27" ht="14.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row>
    <row r="942" spans="1:27" ht="14.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row>
    <row r="943" spans="1:27" ht="14.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row>
    <row r="944" spans="1:27" ht="14.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row>
    <row r="945" spans="1:27" ht="14.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row>
    <row r="946" spans="1:27" ht="14.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row>
    <row r="947" spans="1:27" ht="14.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row>
    <row r="948" spans="1:27" ht="14.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row>
    <row r="949" spans="1:27" ht="14.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row>
    <row r="950" spans="1:27" ht="14.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row>
    <row r="951" spans="1:27" ht="14.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row>
    <row r="952" spans="1:27" ht="14.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row>
    <row r="953" spans="1:27" ht="14.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row>
    <row r="954" spans="1:27" ht="14.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row>
    <row r="955" spans="1:27" ht="14.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row>
    <row r="956" spans="1:27" ht="14.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row>
    <row r="957" spans="1:27" ht="14.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row>
    <row r="958" spans="1:27" ht="14.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row>
    <row r="959" spans="1:27" ht="14.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row>
    <row r="960" spans="1:27" ht="14.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row>
    <row r="961" spans="1:27" ht="14.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row>
    <row r="962" spans="1:27" ht="14.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row>
    <row r="963" spans="1:27" ht="14.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row>
    <row r="964" spans="1:27" ht="14.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row>
    <row r="965" spans="1:27" ht="14.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row>
    <row r="966" spans="1:27" ht="14.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row>
    <row r="967" spans="1:27" ht="14.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row>
    <row r="968" spans="1:27" ht="14.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row>
    <row r="969" spans="1:27" ht="14.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row>
    <row r="970" spans="1:27" ht="14.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row>
    <row r="971" spans="1:27" ht="14.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row>
    <row r="972" spans="1:27" ht="14.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row>
    <row r="973" spans="1:27" ht="14.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row>
    <row r="974" spans="1:27" ht="14.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row>
    <row r="975" spans="1:27" ht="14.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row>
    <row r="976" spans="1:27" ht="14.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row>
    <row r="977" spans="1:27" ht="14.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row>
    <row r="978" spans="1:27" ht="14.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row>
    <row r="979" spans="1:27" ht="14.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row>
    <row r="980" spans="1:27" ht="14.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row>
    <row r="981" spans="1:27" ht="14.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row>
    <row r="982" spans="1:27" ht="14.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row>
    <row r="983" spans="1:27" ht="14.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row>
    <row r="984" spans="1:27" ht="14.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27" ht="14.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row>
    <row r="986" spans="1:27" ht="14.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spans="1:27" ht="14.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row>
    <row r="988" spans="1:27" ht="14.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row>
    <row r="989" spans="1:27" ht="14.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row>
    <row r="990" spans="1:27" ht="14.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row>
    <row r="991" spans="1:27" ht="14.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row>
    <row r="992" spans="1:27" ht="14.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row>
    <row r="993" spans="1:27" ht="14.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row>
    <row r="994" spans="1:27" ht="14.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row>
    <row r="995" spans="1:27" ht="14.2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row>
    <row r="996" spans="1:27" ht="14.2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row>
    <row r="997" spans="1:27" ht="14.2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row>
    <row r="998" spans="1:27" ht="14.2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row>
    <row r="999" spans="1:27" ht="14.2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row>
    <row r="1000" spans="1:27" ht="14.2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row>
  </sheetData>
  <mergeCells count="8">
    <mergeCell ref="B46:F46"/>
    <mergeCell ref="B52:F52"/>
    <mergeCell ref="B58:F58"/>
    <mergeCell ref="B1:G1"/>
    <mergeCell ref="B22:F22"/>
    <mergeCell ref="B28:G28"/>
    <mergeCell ref="B34:G34"/>
    <mergeCell ref="B40:G40"/>
  </mergeCells>
  <pageMargins left="0.7" right="0.7" top="0.75" bottom="0.75"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31.40625" customWidth="1"/>
    <col min="7" max="7" width="13.6796875" customWidth="1"/>
    <col min="8" max="8" width="12.26953125" customWidth="1"/>
    <col min="9" max="9" width="13.6796875" customWidth="1"/>
    <col min="10" max="27" width="8.86328125" customWidth="1"/>
  </cols>
  <sheetData>
    <row r="1" spans="1:27" ht="13.5" customHeight="1">
      <c r="A1" s="50"/>
      <c r="B1" s="91" t="s">
        <v>3</v>
      </c>
      <c r="C1" s="83"/>
      <c r="D1" s="83"/>
      <c r="E1" s="83"/>
      <c r="F1" s="83"/>
      <c r="G1" s="84"/>
      <c r="H1" s="50"/>
      <c r="I1" s="50"/>
      <c r="J1" s="50"/>
      <c r="K1" s="50"/>
      <c r="L1" s="50"/>
      <c r="M1" s="50"/>
      <c r="N1" s="50"/>
      <c r="O1" s="50"/>
      <c r="P1" s="50"/>
      <c r="Q1" s="50"/>
      <c r="R1" s="50"/>
      <c r="S1" s="50"/>
      <c r="T1" s="50"/>
      <c r="U1" s="50"/>
      <c r="V1" s="50"/>
      <c r="W1" s="50"/>
      <c r="X1" s="50"/>
      <c r="Y1" s="50"/>
      <c r="Z1" s="50"/>
      <c r="AA1" s="50"/>
    </row>
    <row r="2" spans="1:27" ht="13.5" customHeight="1">
      <c r="A2" s="14"/>
      <c r="B2" s="14"/>
      <c r="C2" s="39" t="s">
        <v>0</v>
      </c>
      <c r="D2" s="39" t="s">
        <v>1</v>
      </c>
      <c r="E2" s="39"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51">
        <f t="shared" ref="C3:D3" si="0">AVERAGE(C4:C7)</f>
        <v>2</v>
      </c>
      <c r="D3" s="51">
        <f t="shared" si="0"/>
        <v>1.75</v>
      </c>
      <c r="E3" s="7">
        <f>ROUND(AVERAGE(E4:E7),0)</f>
        <v>4</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
        <v>5</v>
      </c>
      <c r="C4" s="52">
        <f>C13</f>
        <v>1</v>
      </c>
      <c r="D4" s="52">
        <f>E13</f>
        <v>2</v>
      </c>
      <c r="E4" s="10">
        <f t="shared" ref="E4:E7" si="1">C4*D4</f>
        <v>2</v>
      </c>
      <c r="F4" s="14"/>
      <c r="G4" s="14"/>
      <c r="H4" s="14"/>
      <c r="I4" s="14"/>
      <c r="J4" s="14"/>
      <c r="K4" s="14"/>
      <c r="L4" s="14"/>
      <c r="M4" s="14"/>
      <c r="N4" s="14"/>
      <c r="O4" s="14"/>
      <c r="P4" s="14"/>
      <c r="Q4" s="14"/>
      <c r="R4" s="14"/>
      <c r="S4" s="14"/>
      <c r="T4" s="14"/>
      <c r="U4" s="14"/>
      <c r="V4" s="14"/>
      <c r="W4" s="14"/>
      <c r="X4" s="14"/>
      <c r="Y4" s="14"/>
      <c r="Z4" s="14"/>
      <c r="AA4" s="14"/>
    </row>
    <row r="5" spans="1:27" ht="13.5" customHeight="1">
      <c r="A5" s="14"/>
      <c r="B5" s="14" t="s">
        <v>6</v>
      </c>
      <c r="C5" s="52">
        <f>C44</f>
        <v>2</v>
      </c>
      <c r="D5" s="52">
        <f>E44</f>
        <v>1</v>
      </c>
      <c r="E5" s="10">
        <f t="shared" si="1"/>
        <v>2</v>
      </c>
      <c r="F5" s="14"/>
      <c r="G5" s="14"/>
      <c r="H5" s="14"/>
      <c r="I5" s="14"/>
      <c r="J5" s="14"/>
      <c r="K5" s="14"/>
      <c r="L5" s="14"/>
      <c r="M5" s="14"/>
      <c r="N5" s="14"/>
      <c r="O5" s="14"/>
      <c r="P5" s="14"/>
      <c r="Q5" s="14"/>
      <c r="R5" s="14"/>
      <c r="S5" s="14"/>
      <c r="T5" s="14"/>
      <c r="U5" s="14"/>
      <c r="V5" s="14"/>
      <c r="W5" s="14"/>
      <c r="X5" s="14"/>
      <c r="Y5" s="14"/>
      <c r="Z5" s="14"/>
      <c r="AA5" s="14"/>
    </row>
    <row r="6" spans="1:27" ht="13.5" customHeight="1">
      <c r="A6" s="14"/>
      <c r="B6" s="14" t="s">
        <v>7</v>
      </c>
      <c r="C6" s="52">
        <f>C75</f>
        <v>1</v>
      </c>
      <c r="D6" s="52">
        <f>E75</f>
        <v>1</v>
      </c>
      <c r="E6" s="10">
        <f t="shared" si="1"/>
        <v>1</v>
      </c>
      <c r="F6" s="14"/>
      <c r="G6" s="14"/>
      <c r="H6" s="14"/>
      <c r="I6" s="14"/>
      <c r="J6" s="14"/>
      <c r="K6" s="14"/>
      <c r="L6" s="14"/>
      <c r="M6" s="14"/>
      <c r="N6" s="14"/>
      <c r="O6" s="14"/>
      <c r="P6" s="14"/>
      <c r="Q6" s="14"/>
      <c r="R6" s="14"/>
      <c r="S6" s="14"/>
      <c r="T6" s="14"/>
      <c r="U6" s="14"/>
      <c r="V6" s="14"/>
      <c r="W6" s="14"/>
      <c r="X6" s="14"/>
      <c r="Y6" s="14"/>
      <c r="Z6" s="14"/>
      <c r="AA6" s="14"/>
    </row>
    <row r="7" spans="1:27" ht="13.5" customHeight="1">
      <c r="A7" s="14"/>
      <c r="B7" s="14" t="s">
        <v>8</v>
      </c>
      <c r="C7" s="52">
        <f>C106</f>
        <v>4</v>
      </c>
      <c r="D7" s="52">
        <f>E106</f>
        <v>3</v>
      </c>
      <c r="E7" s="10">
        <f t="shared" si="1"/>
        <v>12</v>
      </c>
      <c r="F7" s="14"/>
      <c r="G7" s="14"/>
      <c r="H7" s="14"/>
      <c r="I7" s="14"/>
      <c r="J7" s="14"/>
      <c r="K7" s="14"/>
      <c r="L7" s="14"/>
      <c r="M7" s="14"/>
      <c r="N7" s="14"/>
      <c r="O7" s="14"/>
      <c r="P7" s="14"/>
      <c r="Q7" s="14"/>
      <c r="R7" s="14"/>
      <c r="S7" s="14"/>
      <c r="T7" s="14"/>
      <c r="U7" s="14"/>
      <c r="V7" s="14"/>
      <c r="W7" s="14"/>
      <c r="X7" s="14"/>
      <c r="Y7" s="14"/>
      <c r="Z7" s="14"/>
      <c r="AA7" s="14"/>
    </row>
    <row r="8" spans="1:27" ht="13.5" customHeight="1">
      <c r="A8" s="14"/>
      <c r="B8" s="14"/>
      <c r="C8" s="14"/>
      <c r="D8" s="14"/>
      <c r="E8" s="14"/>
      <c r="F8" s="14"/>
      <c r="G8" s="14"/>
      <c r="H8" s="14"/>
      <c r="I8" s="14"/>
      <c r="J8" s="14"/>
      <c r="K8" s="14"/>
      <c r="L8" s="14"/>
      <c r="M8" s="14"/>
      <c r="N8" s="14"/>
      <c r="O8" s="14"/>
      <c r="P8" s="14"/>
      <c r="Q8" s="14"/>
      <c r="R8" s="14"/>
      <c r="S8" s="14"/>
      <c r="T8" s="14"/>
      <c r="U8" s="14"/>
      <c r="V8" s="14"/>
      <c r="W8" s="14"/>
      <c r="X8" s="14"/>
      <c r="Y8" s="14"/>
      <c r="Z8" s="14"/>
      <c r="AA8" s="14"/>
    </row>
    <row r="9" spans="1:27" ht="13.5" customHeight="1">
      <c r="A9" s="14"/>
      <c r="B9" s="50" t="s">
        <v>171</v>
      </c>
      <c r="C9" s="53" t="s">
        <v>5</v>
      </c>
      <c r="D9" s="54" t="s">
        <v>172</v>
      </c>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55" t="s">
        <v>5</v>
      </c>
      <c r="C11" s="56"/>
      <c r="D11" s="56"/>
      <c r="E11" s="56"/>
      <c r="F11" s="56"/>
      <c r="G11" s="56"/>
      <c r="H11" s="14"/>
      <c r="I11" s="14"/>
      <c r="J11" s="14"/>
      <c r="K11" s="14"/>
      <c r="L11" s="14"/>
      <c r="M11" s="14"/>
      <c r="N11" s="14"/>
      <c r="O11" s="14"/>
      <c r="P11" s="14"/>
      <c r="Q11" s="14"/>
      <c r="R11" s="14"/>
      <c r="S11" s="14"/>
      <c r="T11" s="14"/>
      <c r="U11" s="14"/>
      <c r="V11" s="14"/>
      <c r="W11" s="14"/>
      <c r="X11" s="14"/>
      <c r="Y11" s="14"/>
      <c r="Z11" s="14"/>
      <c r="AA11" s="14"/>
    </row>
    <row r="12" spans="1:27" ht="13.5" customHeight="1">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row>
    <row r="13" spans="1:27" ht="13.5" customHeight="1">
      <c r="A13" s="14"/>
      <c r="B13" s="57" t="s">
        <v>0</v>
      </c>
      <c r="C13" s="58">
        <v>1</v>
      </c>
      <c r="D13" s="59" t="s">
        <v>1</v>
      </c>
      <c r="E13" s="58">
        <v>2</v>
      </c>
      <c r="F13" s="57" t="s">
        <v>2</v>
      </c>
      <c r="G13" s="58">
        <f>C13*E13</f>
        <v>2</v>
      </c>
      <c r="H13" s="14"/>
      <c r="I13" s="14"/>
      <c r="J13" s="14"/>
      <c r="K13" s="14"/>
      <c r="L13" s="14"/>
      <c r="M13" s="14"/>
      <c r="N13" s="14"/>
      <c r="O13" s="14"/>
      <c r="P13" s="14"/>
      <c r="Q13" s="14"/>
      <c r="R13" s="14"/>
      <c r="S13" s="14"/>
      <c r="T13" s="14"/>
      <c r="U13" s="14"/>
      <c r="V13" s="14"/>
      <c r="W13" s="14"/>
      <c r="X13" s="14"/>
      <c r="Y13" s="14"/>
      <c r="Z13" s="14"/>
      <c r="AA13" s="14"/>
    </row>
    <row r="14" spans="1:27" ht="13.5" customHeight="1">
      <c r="A14" s="14"/>
      <c r="B14" s="14"/>
      <c r="C14" s="14"/>
      <c r="D14" s="60"/>
      <c r="E14" s="14"/>
      <c r="F14" s="14"/>
      <c r="G14" s="14"/>
      <c r="H14" s="14"/>
      <c r="I14" s="14"/>
      <c r="J14" s="14"/>
      <c r="K14" s="14"/>
      <c r="L14" s="14"/>
      <c r="M14" s="14"/>
      <c r="N14" s="14"/>
      <c r="O14" s="14"/>
      <c r="P14" s="14"/>
      <c r="Q14" s="14"/>
      <c r="R14" s="14"/>
      <c r="S14" s="14"/>
      <c r="T14" s="14"/>
      <c r="U14" s="14"/>
      <c r="V14" s="14"/>
      <c r="W14" s="14"/>
      <c r="X14" s="14"/>
      <c r="Y14" s="14"/>
      <c r="Z14" s="14"/>
      <c r="AA14" s="14"/>
    </row>
    <row r="15" spans="1:27" ht="13.5" customHeight="1">
      <c r="A15" s="14"/>
      <c r="B15" s="89" t="s">
        <v>0</v>
      </c>
      <c r="C15" s="84"/>
      <c r="D15" s="89" t="s">
        <v>1</v>
      </c>
      <c r="E15" s="84"/>
      <c r="F15" s="14"/>
      <c r="G15" s="14"/>
      <c r="H15" s="14"/>
      <c r="I15" s="14"/>
      <c r="J15" s="14"/>
      <c r="K15" s="14"/>
      <c r="L15" s="14"/>
      <c r="M15" s="14"/>
      <c r="N15" s="14"/>
      <c r="O15" s="14"/>
      <c r="P15" s="14"/>
      <c r="Q15" s="14"/>
      <c r="R15" s="14"/>
      <c r="S15" s="14"/>
      <c r="T15" s="14"/>
      <c r="U15" s="14"/>
      <c r="V15" s="14"/>
      <c r="W15" s="14"/>
      <c r="X15" s="14"/>
      <c r="Y15" s="14"/>
      <c r="Z15" s="14"/>
      <c r="AA15" s="14"/>
    </row>
    <row r="16" spans="1:27" ht="99" customHeight="1">
      <c r="A16" s="14"/>
      <c r="B16" s="88" t="str">
        <f>VLOOKUP(C13,Instructions!B24:F27,1+MATCH(B11,Instructions!C23:F23,FALSE))</f>
        <v>▪ The business is expanding globally into diversified markets. 
▪ It offers customized products and services for multichannel and distributors. It evaluates its business portfolio in a structured fashion, which drives strategy decision making. 
▪ It uses advanced analytics to micro-segment its customer base and provide a tailored customer experience</v>
      </c>
      <c r="C16" s="84"/>
      <c r="D16" s="90" t="str">
        <f>VLOOKUP(E13,Instructions!B8:C11,2,FALSE)</f>
        <v>▪ This aspect of the business is not critical to the success of the business</v>
      </c>
      <c r="E16" s="84"/>
      <c r="F16" s="14"/>
      <c r="G16" s="14"/>
      <c r="H16" s="14"/>
      <c r="I16" s="14"/>
      <c r="J16" s="14"/>
      <c r="K16" s="14"/>
      <c r="L16" s="14"/>
      <c r="M16" s="14"/>
      <c r="N16" s="14"/>
      <c r="O16" s="14"/>
      <c r="P16" s="14"/>
      <c r="Q16" s="14"/>
      <c r="R16" s="14"/>
      <c r="S16" s="14"/>
      <c r="T16" s="14"/>
      <c r="U16" s="14"/>
      <c r="V16" s="14"/>
      <c r="W16" s="14"/>
      <c r="X16" s="14"/>
      <c r="Y16" s="14"/>
      <c r="Z16" s="14"/>
      <c r="AA16" s="14"/>
    </row>
    <row r="17" spans="1:27" ht="13.5" customHeight="1">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row>
    <row r="18" spans="1:27" ht="13.5" customHeight="1">
      <c r="A18" s="14"/>
      <c r="B18" s="61" t="s">
        <v>173</v>
      </c>
      <c r="C18" s="62"/>
      <c r="D18" s="62"/>
      <c r="E18" s="62"/>
      <c r="F18" s="62"/>
      <c r="G18" s="62"/>
      <c r="H18" s="14"/>
      <c r="I18" s="14"/>
      <c r="J18" s="14"/>
      <c r="K18" s="14"/>
      <c r="L18" s="14"/>
      <c r="M18" s="14"/>
      <c r="N18" s="14"/>
      <c r="O18" s="14"/>
      <c r="P18" s="14"/>
      <c r="Q18" s="14"/>
      <c r="R18" s="14"/>
      <c r="S18" s="14"/>
      <c r="T18" s="14"/>
      <c r="U18" s="14"/>
      <c r="V18" s="14"/>
      <c r="W18" s="14"/>
      <c r="X18" s="14"/>
      <c r="Y18" s="14"/>
      <c r="Z18" s="14"/>
      <c r="AA18" s="14"/>
    </row>
    <row r="19" spans="1:27" ht="13.5" customHeight="1">
      <c r="A19" s="14"/>
      <c r="B19" s="14" t="s">
        <v>174</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row>
    <row r="20" spans="1:27" ht="13.5" customHeight="1">
      <c r="A20" s="14"/>
      <c r="B20" s="63" t="s">
        <v>175</v>
      </c>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customHeight="1">
      <c r="A21" s="14"/>
      <c r="B21" s="14" t="s">
        <v>176</v>
      </c>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customHeight="1">
      <c r="A22" s="14"/>
      <c r="B22" s="63" t="s">
        <v>177</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customHeight="1">
      <c r="A23" s="14"/>
      <c r="B23" s="63" t="s">
        <v>178</v>
      </c>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customHeight="1">
      <c r="A24" s="14"/>
      <c r="B24" s="63" t="s">
        <v>179</v>
      </c>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customHeight="1">
      <c r="A25" s="14"/>
      <c r="B25" s="63" t="s">
        <v>180</v>
      </c>
      <c r="C25" s="6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customHeight="1">
      <c r="A27" s="14"/>
      <c r="B27" s="61" t="s">
        <v>181</v>
      </c>
      <c r="C27" s="62"/>
      <c r="D27" s="62"/>
      <c r="E27" s="62"/>
      <c r="F27" s="62"/>
      <c r="G27" s="62"/>
      <c r="H27" s="14"/>
      <c r="I27" s="14"/>
      <c r="J27" s="14"/>
      <c r="K27" s="14"/>
      <c r="L27" s="14"/>
      <c r="M27" s="14"/>
      <c r="N27" s="14"/>
      <c r="O27" s="14"/>
      <c r="P27" s="14"/>
      <c r="Q27" s="14"/>
      <c r="R27" s="14"/>
      <c r="S27" s="14"/>
      <c r="T27" s="14"/>
      <c r="U27" s="14"/>
      <c r="V27" s="14"/>
      <c r="W27" s="14"/>
      <c r="X27" s="14"/>
      <c r="Y27" s="14"/>
      <c r="Z27" s="14"/>
      <c r="AA27" s="14"/>
    </row>
    <row r="28" spans="1:27" ht="13.5" customHeight="1">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row>
    <row r="29" spans="1:27" ht="13.5"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customHeight="1">
      <c r="A34" s="14"/>
      <c r="B34" s="61" t="s">
        <v>182</v>
      </c>
      <c r="C34" s="62"/>
      <c r="D34" s="62"/>
      <c r="E34" s="62"/>
      <c r="F34" s="62"/>
      <c r="G34" s="62"/>
      <c r="H34" s="14"/>
      <c r="I34" s="14"/>
      <c r="J34" s="14"/>
      <c r="K34" s="14"/>
      <c r="L34" s="14"/>
      <c r="M34" s="14"/>
      <c r="N34" s="14"/>
      <c r="O34" s="14"/>
      <c r="P34" s="14"/>
      <c r="Q34" s="14"/>
      <c r="R34" s="14"/>
      <c r="S34" s="14"/>
      <c r="T34" s="14"/>
      <c r="U34" s="14"/>
      <c r="V34" s="14"/>
      <c r="W34" s="14"/>
      <c r="X34" s="14"/>
      <c r="Y34" s="14"/>
      <c r="Z34" s="14"/>
      <c r="AA34" s="14"/>
    </row>
    <row r="35" spans="1:27" ht="13.5" customHeight="1">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row>
    <row r="36" spans="1:27" ht="13.5"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customHeight="1">
      <c r="A37" s="14"/>
      <c r="B37" s="50"/>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customHeight="1">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customHeight="1">
      <c r="A41" s="14"/>
      <c r="B41" s="56" t="s">
        <v>183</v>
      </c>
      <c r="C41" s="56"/>
      <c r="D41" s="56"/>
      <c r="E41" s="56"/>
      <c r="F41" s="56"/>
      <c r="G41" s="56"/>
      <c r="H41" s="14"/>
      <c r="I41" s="14"/>
      <c r="J41" s="14"/>
      <c r="K41" s="14"/>
      <c r="L41" s="14"/>
      <c r="M41" s="14"/>
      <c r="N41" s="14"/>
      <c r="O41" s="14"/>
      <c r="P41" s="14"/>
      <c r="Q41" s="14"/>
      <c r="R41" s="14"/>
      <c r="S41" s="14"/>
      <c r="T41" s="14"/>
      <c r="U41" s="14"/>
      <c r="V41" s="14"/>
      <c r="W41" s="14"/>
      <c r="X41" s="14"/>
      <c r="Y41" s="14"/>
      <c r="Z41" s="14"/>
      <c r="AA41" s="14"/>
    </row>
    <row r="42" spans="1:27" ht="13.5" hidden="1" customHeight="1">
      <c r="A42" s="14"/>
      <c r="B42" s="55" t="s">
        <v>6</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hidden="1" customHeight="1">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row>
    <row r="44" spans="1:27" ht="13.5" hidden="1" customHeight="1">
      <c r="A44" s="14"/>
      <c r="B44" s="57" t="s">
        <v>0</v>
      </c>
      <c r="C44" s="58">
        <v>2</v>
      </c>
      <c r="D44" s="59" t="s">
        <v>1</v>
      </c>
      <c r="E44" s="58">
        <v>1</v>
      </c>
      <c r="F44" s="57" t="s">
        <v>2</v>
      </c>
      <c r="G44" s="58">
        <f>C44*E44</f>
        <v>2</v>
      </c>
      <c r="H44" s="14"/>
      <c r="I44" s="14"/>
      <c r="J44" s="14"/>
      <c r="K44" s="14"/>
      <c r="L44" s="14"/>
      <c r="M44" s="14"/>
      <c r="N44" s="14"/>
      <c r="O44" s="14"/>
      <c r="P44" s="14"/>
      <c r="Q44" s="14"/>
      <c r="R44" s="14"/>
      <c r="S44" s="14"/>
      <c r="T44" s="14"/>
      <c r="U44" s="14"/>
      <c r="V44" s="14"/>
      <c r="W44" s="14"/>
      <c r="X44" s="14"/>
      <c r="Y44" s="14"/>
      <c r="Z44" s="14"/>
      <c r="AA44" s="14"/>
    </row>
    <row r="45" spans="1:27" ht="13.5" hidden="1" customHeight="1">
      <c r="A45" s="14"/>
      <c r="B45" s="14"/>
      <c r="C45" s="62"/>
      <c r="D45" s="60"/>
      <c r="E45" s="62"/>
      <c r="F45" s="14"/>
      <c r="G45" s="62"/>
      <c r="H45" s="14"/>
      <c r="I45" s="14"/>
      <c r="J45" s="14"/>
      <c r="K45" s="14"/>
      <c r="L45" s="14"/>
      <c r="M45" s="14"/>
      <c r="N45" s="14"/>
      <c r="O45" s="14"/>
      <c r="P45" s="14"/>
      <c r="Q45" s="14"/>
      <c r="R45" s="14"/>
      <c r="S45" s="14"/>
      <c r="T45" s="14"/>
      <c r="U45" s="14"/>
      <c r="V45" s="14"/>
      <c r="W45" s="14"/>
      <c r="X45" s="14"/>
      <c r="Y45" s="14"/>
      <c r="Z45" s="14"/>
      <c r="AA45" s="14"/>
    </row>
    <row r="46" spans="1:27" ht="13.5" hidden="1" customHeight="1">
      <c r="A46" s="14"/>
      <c r="B46" s="89" t="s">
        <v>0</v>
      </c>
      <c r="C46" s="8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99" hidden="1" customHeight="1">
      <c r="A47" s="14"/>
      <c r="B47" s="88" t="str">
        <f>VLOOKUP(C44,Instructions!B24:F27,1+MATCH(B42,Instructions!C23:F23,FALSE))</f>
        <v>▪ Marketing is focused on retention, cross-selling and up-selling. 
▪ Pricing is based on customer life-time value.
▪ Leadership understand the value of the brand.
▪ The company is leveraging digital marketing to attract and retain customers.</v>
      </c>
      <c r="C47" s="84"/>
      <c r="D47" s="90" t="str">
        <f>VLOOKUP(E44,Instructions!B8:C11,2,FALSE)</f>
        <v>▪ At this stage of the company this aspect of the business is not needed.</v>
      </c>
      <c r="E47" s="84"/>
      <c r="F47" s="14"/>
      <c r="G47" s="14"/>
      <c r="H47" s="14"/>
      <c r="I47" s="14"/>
      <c r="J47" s="14"/>
      <c r="K47" s="14"/>
      <c r="L47" s="14"/>
      <c r="M47" s="14"/>
      <c r="N47" s="14"/>
      <c r="O47" s="14"/>
      <c r="P47" s="14"/>
      <c r="Q47" s="14"/>
      <c r="R47" s="14"/>
      <c r="S47" s="14"/>
      <c r="T47" s="14"/>
      <c r="U47" s="14"/>
      <c r="V47" s="14"/>
      <c r="W47" s="14"/>
      <c r="X47" s="14"/>
      <c r="Y47" s="14"/>
      <c r="Z47" s="14"/>
      <c r="AA47" s="14"/>
    </row>
    <row r="48" spans="1:27" ht="13.5" hidden="1" customHeight="1">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row>
    <row r="49" spans="1:27" ht="13.5" hidden="1" customHeight="1">
      <c r="A49" s="14"/>
      <c r="B49" s="61" t="s">
        <v>173</v>
      </c>
      <c r="C49" s="62"/>
      <c r="D49" s="62"/>
      <c r="E49" s="62"/>
      <c r="F49" s="62"/>
      <c r="G49" s="62"/>
      <c r="H49" s="14"/>
      <c r="I49" s="14"/>
      <c r="J49" s="14"/>
      <c r="K49" s="14"/>
      <c r="L49" s="14"/>
      <c r="M49" s="14"/>
      <c r="N49" s="14"/>
      <c r="O49" s="14"/>
      <c r="P49" s="14"/>
      <c r="Q49" s="14"/>
      <c r="R49" s="14"/>
      <c r="S49" s="14"/>
      <c r="T49" s="14"/>
      <c r="U49" s="14"/>
      <c r="V49" s="14"/>
      <c r="W49" s="14"/>
      <c r="X49" s="14"/>
      <c r="Y49" s="14"/>
      <c r="Z49" s="14"/>
      <c r="AA49" s="14"/>
    </row>
    <row r="50" spans="1:27" ht="13.5" hidden="1" customHeight="1">
      <c r="A50" s="14"/>
      <c r="B50" s="14" t="s">
        <v>184</v>
      </c>
      <c r="C50" s="14"/>
      <c r="D50" s="14"/>
      <c r="E50" s="14"/>
      <c r="F50" s="14"/>
      <c r="G50" s="14"/>
      <c r="H50" s="14"/>
      <c r="I50" s="14"/>
      <c r="J50" s="14"/>
      <c r="K50" s="14"/>
      <c r="L50" s="14"/>
      <c r="M50" s="14"/>
      <c r="N50" s="14"/>
      <c r="O50" s="14"/>
      <c r="P50" s="14"/>
      <c r="Q50" s="14"/>
      <c r="R50" s="14"/>
      <c r="S50" s="14"/>
      <c r="T50" s="14"/>
      <c r="U50" s="14"/>
      <c r="V50" s="14"/>
      <c r="W50" s="14"/>
      <c r="X50" s="14"/>
      <c r="Y50" s="14"/>
      <c r="Z50" s="14"/>
      <c r="AA50" s="14"/>
    </row>
    <row r="51" spans="1:27" ht="13.5" hidden="1" customHeight="1">
      <c r="A51" s="14"/>
      <c r="B51" s="14" t="s">
        <v>185</v>
      </c>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hidden="1" customHeight="1">
      <c r="A52" s="14"/>
      <c r="B52" s="63" t="s">
        <v>186</v>
      </c>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hidden="1" customHeight="1">
      <c r="A53" s="14"/>
      <c r="B53" s="14" t="s">
        <v>187</v>
      </c>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hidden="1" customHeight="1">
      <c r="A54" s="14"/>
      <c r="B54" s="63" t="s">
        <v>188</v>
      </c>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hidden="1" customHeight="1">
      <c r="A55" s="14"/>
      <c r="B55" s="63"/>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hidden="1" customHeight="1">
      <c r="A56" s="14"/>
      <c r="B56" s="14"/>
      <c r="C56" s="6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hidden="1"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hidden="1" customHeight="1">
      <c r="A58" s="14"/>
      <c r="B58" s="61" t="s">
        <v>181</v>
      </c>
      <c r="C58" s="62"/>
      <c r="D58" s="62"/>
      <c r="E58" s="62"/>
      <c r="F58" s="62"/>
      <c r="G58" s="62"/>
      <c r="H58" s="14"/>
      <c r="I58" s="14"/>
      <c r="J58" s="14"/>
      <c r="K58" s="14"/>
      <c r="L58" s="14"/>
      <c r="M58" s="14"/>
      <c r="N58" s="14"/>
      <c r="O58" s="14"/>
      <c r="P58" s="14"/>
      <c r="Q58" s="14"/>
      <c r="R58" s="14"/>
      <c r="S58" s="14"/>
      <c r="T58" s="14"/>
      <c r="U58" s="14"/>
      <c r="V58" s="14"/>
      <c r="W58" s="14"/>
      <c r="X58" s="14"/>
      <c r="Y58" s="14"/>
      <c r="Z58" s="14"/>
      <c r="AA58" s="14"/>
    </row>
    <row r="59" spans="1:27" ht="13.5" hidden="1" customHeight="1">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row>
    <row r="60" spans="1:27" ht="13.5" hidden="1"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hidden="1"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hidden="1"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hidden="1"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hidden="1"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hidden="1" customHeight="1">
      <c r="A65" s="14"/>
      <c r="B65" s="61" t="s">
        <v>182</v>
      </c>
      <c r="C65" s="62"/>
      <c r="D65" s="62"/>
      <c r="E65" s="62"/>
      <c r="F65" s="62"/>
      <c r="G65" s="62"/>
      <c r="H65" s="14"/>
      <c r="I65" s="14"/>
      <c r="J65" s="14"/>
      <c r="K65" s="14"/>
      <c r="L65" s="14"/>
      <c r="M65" s="14"/>
      <c r="N65" s="14"/>
      <c r="O65" s="14"/>
      <c r="P65" s="14"/>
      <c r="Q65" s="14"/>
      <c r="R65" s="14"/>
      <c r="S65" s="14"/>
      <c r="T65" s="14"/>
      <c r="U65" s="14"/>
      <c r="V65" s="14"/>
      <c r="W65" s="14"/>
      <c r="X65" s="14"/>
      <c r="Y65" s="14"/>
      <c r="Z65" s="14"/>
      <c r="AA65" s="14"/>
    </row>
    <row r="66" spans="1:27" ht="13.5" hidden="1" customHeight="1">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row>
    <row r="67" spans="1:27" ht="13.5" hidden="1"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hidden="1" customHeight="1">
      <c r="A68" s="14"/>
      <c r="B68" s="50"/>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hidden="1" customHeight="1">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hidden="1"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hidden="1"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hidden="1" customHeight="1">
      <c r="A72" s="14"/>
      <c r="B72" s="56" t="s">
        <v>183</v>
      </c>
      <c r="C72" s="56"/>
      <c r="D72" s="56"/>
      <c r="E72" s="56"/>
      <c r="F72" s="56"/>
      <c r="G72" s="56"/>
      <c r="H72" s="14"/>
      <c r="I72" s="14"/>
      <c r="J72" s="14"/>
      <c r="K72" s="14"/>
      <c r="L72" s="14"/>
      <c r="M72" s="14"/>
      <c r="N72" s="14"/>
      <c r="O72" s="14"/>
      <c r="P72" s="14"/>
      <c r="Q72" s="14"/>
      <c r="R72" s="14"/>
      <c r="S72" s="14"/>
      <c r="T72" s="14"/>
      <c r="U72" s="14"/>
      <c r="V72" s="14"/>
      <c r="W72" s="14"/>
      <c r="X72" s="14"/>
      <c r="Y72" s="14"/>
      <c r="Z72" s="14"/>
      <c r="AA72" s="14"/>
    </row>
    <row r="73" spans="1:27" ht="13.5" hidden="1" customHeight="1">
      <c r="A73" s="14"/>
      <c r="B73" s="55" t="s">
        <v>7</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57" t="s">
        <v>0</v>
      </c>
      <c r="C75" s="58">
        <v>1</v>
      </c>
      <c r="D75" s="59" t="s">
        <v>1</v>
      </c>
      <c r="E75" s="58">
        <v>1</v>
      </c>
      <c r="F75" s="57" t="s">
        <v>2</v>
      </c>
      <c r="G75" s="58">
        <f>C75*E75</f>
        <v>1</v>
      </c>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14"/>
      <c r="C76" s="62"/>
      <c r="D76" s="60"/>
      <c r="E76" s="62"/>
      <c r="F76" s="14"/>
      <c r="G76" s="14"/>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89" t="s">
        <v>0</v>
      </c>
      <c r="C77" s="8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99" hidden="1" customHeight="1">
      <c r="A78" s="14"/>
      <c r="B78" s="88" t="str">
        <f>VLOOKUP(C75,Instructions!B24:F27,1+MATCH(B73,Instructions!C23:F23,FALSE))</f>
        <v>▪ Brand and reputation generates sales. 
▪ Rewards are based on long-term customer experiences.
▪ Pricing is based on customer lifetime value
▪ Competitor's activities and market trends are comprehensively evaluated to proactively evolve products and services.</v>
      </c>
      <c r="C78" s="84"/>
      <c r="D78" s="90" t="str">
        <f>VLOOKUP(E75,Instructions!B8:C11,2,FALSE)</f>
        <v>▪ At this stage of the company this aspect of the business is not needed.</v>
      </c>
      <c r="E78" s="84"/>
      <c r="F78" s="14"/>
      <c r="G78" s="14"/>
      <c r="H78" s="14"/>
      <c r="I78" s="14"/>
      <c r="J78" s="14"/>
      <c r="K78" s="14"/>
      <c r="L78" s="14"/>
      <c r="M78" s="14"/>
      <c r="N78" s="14"/>
      <c r="O78" s="14"/>
      <c r="P78" s="14"/>
      <c r="Q78" s="14"/>
      <c r="R78" s="14"/>
      <c r="S78" s="14"/>
      <c r="T78" s="14"/>
      <c r="U78" s="14"/>
      <c r="V78" s="14"/>
      <c r="W78" s="14"/>
      <c r="X78" s="14"/>
      <c r="Y78" s="14"/>
      <c r="Z78" s="14"/>
      <c r="AA78" s="14"/>
    </row>
    <row r="79" spans="1:27" ht="13.5" hidden="1" customHeight="1">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61" t="s">
        <v>173</v>
      </c>
      <c r="C80" s="62"/>
      <c r="D80" s="62"/>
      <c r="E80" s="62"/>
      <c r="F80" s="62"/>
      <c r="G80" s="62"/>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3" t="s">
        <v>189</v>
      </c>
      <c r="C81" s="14"/>
      <c r="D81" s="14"/>
      <c r="E81" s="14"/>
      <c r="F81" s="14"/>
      <c r="G81" s="14"/>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63" t="s">
        <v>190</v>
      </c>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t="s">
        <v>191</v>
      </c>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14"/>
      <c r="C87" s="6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61" t="s">
        <v>181</v>
      </c>
      <c r="C89" s="62"/>
      <c r="D89" s="62"/>
      <c r="E89" s="62"/>
      <c r="F89" s="62"/>
      <c r="G89" s="62"/>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61" t="s">
        <v>182</v>
      </c>
      <c r="C96" s="62"/>
      <c r="D96" s="62"/>
      <c r="E96" s="62"/>
      <c r="F96" s="62"/>
      <c r="G96" s="62"/>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50"/>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56" t="s">
        <v>183</v>
      </c>
      <c r="C103" s="56"/>
      <c r="D103" s="56"/>
      <c r="E103" s="56"/>
      <c r="F103" s="56"/>
      <c r="G103" s="56"/>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5" t="s">
        <v>8</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hidden="1" customHeight="1">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row>
    <row r="106" spans="1:27" ht="13.5" hidden="1" customHeight="1">
      <c r="A106" s="14"/>
      <c r="B106" s="57" t="s">
        <v>0</v>
      </c>
      <c r="C106" s="58">
        <v>4</v>
      </c>
      <c r="D106" s="59" t="s">
        <v>1</v>
      </c>
      <c r="E106" s="58">
        <v>3</v>
      </c>
      <c r="F106" s="57" t="s">
        <v>2</v>
      </c>
      <c r="G106" s="65">
        <f>E106*C106</f>
        <v>12</v>
      </c>
      <c r="H106" s="14"/>
      <c r="I106" s="14"/>
      <c r="J106" s="14"/>
      <c r="K106" s="14"/>
      <c r="L106" s="14"/>
      <c r="M106" s="14"/>
      <c r="N106" s="14"/>
      <c r="O106" s="14"/>
      <c r="P106" s="14"/>
      <c r="Q106" s="14"/>
      <c r="R106" s="14"/>
      <c r="S106" s="14"/>
      <c r="T106" s="14"/>
      <c r="U106" s="14"/>
      <c r="V106" s="14"/>
      <c r="W106" s="14"/>
      <c r="X106" s="14"/>
      <c r="Y106" s="14"/>
      <c r="Z106" s="14"/>
      <c r="AA106" s="14"/>
    </row>
    <row r="107" spans="1:27" ht="13.5" hidden="1" customHeight="1">
      <c r="A107" s="14"/>
      <c r="B107" s="14"/>
      <c r="C107" s="14"/>
      <c r="D107" s="60"/>
      <c r="E107" s="14"/>
      <c r="F107" s="14"/>
      <c r="G107" s="14"/>
      <c r="H107" s="14"/>
      <c r="I107" s="14"/>
      <c r="J107" s="14"/>
      <c r="K107" s="14"/>
      <c r="L107" s="14"/>
      <c r="M107" s="14"/>
      <c r="N107" s="14"/>
      <c r="O107" s="14"/>
      <c r="P107" s="14"/>
      <c r="Q107" s="14"/>
      <c r="R107" s="14"/>
      <c r="S107" s="14"/>
      <c r="T107" s="14"/>
      <c r="U107" s="14"/>
      <c r="V107" s="14"/>
      <c r="W107" s="14"/>
      <c r="X107" s="14"/>
      <c r="Y107" s="14"/>
      <c r="Z107" s="14"/>
      <c r="AA107" s="14"/>
    </row>
    <row r="108" spans="1:27" ht="13.5" hidden="1" customHeight="1">
      <c r="A108" s="14"/>
      <c r="B108" s="89" t="s">
        <v>0</v>
      </c>
      <c r="C108" s="84"/>
      <c r="D108" s="60"/>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spans="1:27" ht="99" hidden="1" customHeight="1">
      <c r="A109" s="14"/>
      <c r="B109" s="88" t="str">
        <f>VLOOKUP(C106,Instructions!B24:F27,1+MATCH(B104,Instructions!C23:F23,FALSE))</f>
        <v>▪  The enterprise does not yet understand the customer's needs.
▪  The enterprise has no system in place to measure customer satisfaction.</v>
      </c>
      <c r="C109" s="84"/>
      <c r="D109" s="90" t="str">
        <f>VLOOKUP(E106,Instructions!B8:C11,2,FALSE)</f>
        <v>▪ This aspect of the business is of neutral importance to the success of the business</v>
      </c>
      <c r="E109" s="8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13.5" hidden="1" customHeight="1">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hidden="1" customHeight="1">
      <c r="A111" s="14"/>
      <c r="B111" s="61" t="s">
        <v>173</v>
      </c>
      <c r="C111" s="62"/>
      <c r="D111" s="62"/>
      <c r="E111" s="62"/>
      <c r="F111" s="62"/>
      <c r="G111" s="62"/>
      <c r="H111" s="14"/>
      <c r="I111" s="14"/>
      <c r="J111" s="14"/>
      <c r="K111" s="14"/>
      <c r="L111" s="14"/>
      <c r="M111" s="14"/>
      <c r="N111" s="14"/>
      <c r="O111" s="14"/>
      <c r="P111" s="14"/>
      <c r="Q111" s="14"/>
      <c r="R111" s="14"/>
      <c r="S111" s="14"/>
      <c r="T111" s="14"/>
      <c r="U111" s="14"/>
      <c r="V111" s="14"/>
      <c r="W111" s="14"/>
      <c r="X111" s="14"/>
      <c r="Y111" s="14"/>
      <c r="Z111" s="14"/>
      <c r="AA111" s="14"/>
    </row>
    <row r="112" spans="1:27" ht="13.5" hidden="1" customHeight="1">
      <c r="A112" s="14"/>
      <c r="B112" s="63" t="s">
        <v>192</v>
      </c>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row>
    <row r="113" spans="1:27" ht="13.5" hidden="1" customHeight="1">
      <c r="A113" s="14"/>
      <c r="B113" s="63" t="s">
        <v>193</v>
      </c>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hidden="1" customHeight="1">
      <c r="A114" s="14"/>
      <c r="B114" s="14" t="s">
        <v>194</v>
      </c>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hidden="1" customHeight="1">
      <c r="A115" s="14"/>
      <c r="B115" s="6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hidden="1" customHeight="1">
      <c r="A116" s="14"/>
      <c r="B116" s="63"/>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hidden="1" customHeight="1">
      <c r="A117" s="14"/>
      <c r="B117" s="63"/>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hidden="1" customHeight="1">
      <c r="A118" s="14"/>
      <c r="B118" s="14"/>
      <c r="C118" s="6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hidden="1"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hidden="1" customHeight="1">
      <c r="A120" s="14"/>
      <c r="B120" s="61" t="s">
        <v>181</v>
      </c>
      <c r="C120" s="62"/>
      <c r="D120" s="62"/>
      <c r="E120" s="62"/>
      <c r="F120" s="62"/>
      <c r="G120" s="62"/>
      <c r="H120" s="14"/>
      <c r="I120" s="14"/>
      <c r="J120" s="14"/>
      <c r="K120" s="14"/>
      <c r="L120" s="14"/>
      <c r="M120" s="14"/>
      <c r="N120" s="14"/>
      <c r="O120" s="14"/>
      <c r="P120" s="14"/>
      <c r="Q120" s="14"/>
      <c r="R120" s="14"/>
      <c r="S120" s="14"/>
      <c r="T120" s="14"/>
      <c r="U120" s="14"/>
      <c r="V120" s="14"/>
      <c r="W120" s="14"/>
      <c r="X120" s="14"/>
      <c r="Y120" s="14"/>
      <c r="Z120" s="14"/>
      <c r="AA120" s="14"/>
    </row>
    <row r="121" spans="1:27" ht="13.5" hidden="1" customHeight="1">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row>
    <row r="122" spans="1:27" ht="13.5" hidden="1"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hidden="1"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hidden="1"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hidden="1"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hidden="1"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hidden="1" customHeight="1">
      <c r="A127" s="14"/>
      <c r="B127" s="61" t="s">
        <v>182</v>
      </c>
      <c r="C127" s="62"/>
      <c r="D127" s="62"/>
      <c r="E127" s="62"/>
      <c r="F127" s="62"/>
      <c r="G127" s="62"/>
      <c r="H127" s="14"/>
      <c r="I127" s="14"/>
      <c r="J127" s="14"/>
      <c r="K127" s="14"/>
      <c r="L127" s="14"/>
      <c r="M127" s="14"/>
      <c r="N127" s="14"/>
      <c r="O127" s="14"/>
      <c r="P127" s="14"/>
      <c r="Q127" s="14"/>
      <c r="R127" s="14"/>
      <c r="S127" s="14"/>
      <c r="T127" s="14"/>
      <c r="U127" s="14"/>
      <c r="V127" s="14"/>
      <c r="W127" s="14"/>
      <c r="X127" s="14"/>
      <c r="Y127" s="14"/>
      <c r="Z127" s="14"/>
      <c r="AA127" s="14"/>
    </row>
    <row r="128" spans="1:27" ht="13.5" hidden="1" customHeight="1">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row>
    <row r="129" spans="1:27" ht="13.5" hidden="1"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hidden="1" customHeight="1">
      <c r="A130" s="14"/>
      <c r="B130" s="50"/>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hidden="1" customHeight="1">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hidden="1"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hidden="1"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hidden="1" customHeight="1">
      <c r="A134" s="14"/>
      <c r="B134" s="56" t="s">
        <v>183</v>
      </c>
      <c r="C134" s="56"/>
      <c r="D134" s="56"/>
      <c r="E134" s="56"/>
      <c r="F134" s="56"/>
      <c r="G134" s="56"/>
      <c r="H134" s="14"/>
      <c r="I134" s="14"/>
      <c r="J134" s="14"/>
      <c r="K134" s="14"/>
      <c r="L134" s="14"/>
      <c r="M134" s="14"/>
      <c r="N134" s="14"/>
      <c r="O134" s="14"/>
      <c r="P134" s="14"/>
      <c r="Q134" s="14"/>
      <c r="R134" s="14"/>
      <c r="S134" s="14"/>
      <c r="T134" s="14"/>
      <c r="U134" s="14"/>
      <c r="V134" s="14"/>
      <c r="W134" s="14"/>
      <c r="X134" s="14"/>
      <c r="Y134" s="14"/>
      <c r="Z134" s="14"/>
      <c r="AA134" s="14"/>
    </row>
    <row r="135" spans="1:27" ht="13.5" customHeight="1">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row>
    <row r="136" spans="1:27" ht="13.5" customHeight="1">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row>
    <row r="137" spans="1:27" ht="13.5"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customHeight="1">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row>
    <row r="139" spans="1:27" ht="13.5" customHeight="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row>
    <row r="140" spans="1:27" ht="13.5" customHeight="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13.5" customHeight="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customHeight="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row>
    <row r="144" spans="1:27" ht="13.5" customHeight="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customHeight="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customHeight="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customHeight="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customHeight="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customHeight="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customHeight="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customHeight="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customHeight="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row>
    <row r="153" spans="1:27" ht="13.5"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customHeight="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row>
    <row r="160" spans="1:27" ht="13.5"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customHeight="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customHeight="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4">
    <mergeCell ref="B109:C109"/>
    <mergeCell ref="D109:E109"/>
    <mergeCell ref="B1:G1"/>
    <mergeCell ref="B15:C15"/>
    <mergeCell ref="D15:E15"/>
    <mergeCell ref="B16:C16"/>
    <mergeCell ref="D16:E16"/>
    <mergeCell ref="B46:C46"/>
    <mergeCell ref="D47:E47"/>
    <mergeCell ref="B47:C47"/>
    <mergeCell ref="B77:C77"/>
    <mergeCell ref="B78:C78"/>
    <mergeCell ref="D78:E78"/>
    <mergeCell ref="B108:C108"/>
  </mergeCells>
  <conditionalFormatting sqref="C13:C14">
    <cfRule type="colorScale" priority="1">
      <colorScale>
        <cfvo type="formula" val="1"/>
        <cfvo type="formula" val="2.5"/>
        <cfvo type="formula" val="4"/>
        <color rgb="FF6DCC32"/>
        <color rgb="FFFFE600"/>
        <color rgb="FFC00000"/>
      </colorScale>
    </cfRule>
  </conditionalFormatting>
  <conditionalFormatting sqref="E13:E14">
    <cfRule type="colorScale" priority="2">
      <colorScale>
        <cfvo type="formula" val="1"/>
        <cfvo type="formula" val="2.5"/>
        <cfvo type="formula" val="4"/>
        <color rgb="FF6DCC32"/>
        <color rgb="FFFFC000"/>
        <color rgb="FFC00000"/>
      </colorScale>
    </cfRule>
  </conditionalFormatting>
  <conditionalFormatting sqref="G13:G15">
    <cfRule type="colorScale" priority="3">
      <colorScale>
        <cfvo type="formula" val="1"/>
        <cfvo type="formula" val="8.5"/>
        <cfvo type="formula" val="16"/>
        <color rgb="FF6DCC32"/>
        <color rgb="FFFFC000"/>
        <color rgb="FFC00000"/>
      </colorScale>
    </cfRule>
  </conditionalFormatting>
  <conditionalFormatting sqref="C44:C45">
    <cfRule type="colorScale" priority="4">
      <colorScale>
        <cfvo type="formula" val="1"/>
        <cfvo type="formula" val="2.5"/>
        <cfvo type="formula" val="4"/>
        <color rgb="FF6DCC32"/>
        <color rgb="FFFFE600"/>
        <color rgb="FFC00000"/>
      </colorScale>
    </cfRule>
  </conditionalFormatting>
  <conditionalFormatting sqref="E44:E46">
    <cfRule type="colorScale" priority="5">
      <colorScale>
        <cfvo type="formula" val="1"/>
        <cfvo type="formula" val="2.5"/>
        <cfvo type="formula" val="4"/>
        <color rgb="FF6DCC32"/>
        <color rgb="FFFFC000"/>
        <color rgb="FFC00000"/>
      </colorScale>
    </cfRule>
  </conditionalFormatting>
  <conditionalFormatting sqref="G44:G46">
    <cfRule type="colorScale" priority="6">
      <colorScale>
        <cfvo type="formula" val="1"/>
        <cfvo type="formula" val="8.5"/>
        <cfvo type="formula" val="16"/>
        <color rgb="FF6DCC32"/>
        <color rgb="FFFFC000"/>
        <color rgb="FFC00000"/>
      </colorScale>
    </cfRule>
  </conditionalFormatting>
  <conditionalFormatting sqref="C75:C76">
    <cfRule type="colorScale" priority="7">
      <colorScale>
        <cfvo type="formula" val="1"/>
        <cfvo type="formula" val="2.5"/>
        <cfvo type="formula" val="3"/>
        <color rgb="FF6DCC32"/>
        <color rgb="FFFFE600"/>
        <color rgb="FFC00000"/>
      </colorScale>
    </cfRule>
  </conditionalFormatting>
  <conditionalFormatting sqref="E75:E77">
    <cfRule type="colorScale" priority="8">
      <colorScale>
        <cfvo type="formula" val="1"/>
        <cfvo type="formula" val="2.5"/>
        <cfvo type="formula" val="4"/>
        <color rgb="FF6DCC32"/>
        <color rgb="FFFFC000"/>
        <color rgb="FFC00000"/>
      </colorScale>
    </cfRule>
  </conditionalFormatting>
  <conditionalFormatting sqref="G75:G77">
    <cfRule type="colorScale" priority="9">
      <colorScale>
        <cfvo type="formula" val="1"/>
        <cfvo type="formula" val="8.5"/>
        <cfvo type="formula" val="16"/>
        <color rgb="FF6DCC32"/>
        <color rgb="FFFFC000"/>
        <color rgb="FFC00000"/>
      </colorScale>
    </cfRule>
  </conditionalFormatting>
  <conditionalFormatting sqref="C106:C107">
    <cfRule type="colorScale" priority="10">
      <colorScale>
        <cfvo type="formula" val="1"/>
        <cfvo type="formula" val="2.5"/>
        <cfvo type="formula" val="4"/>
        <color rgb="FF6DCC32"/>
        <color rgb="FFFFE600"/>
        <color rgb="FFC00000"/>
      </colorScale>
    </cfRule>
  </conditionalFormatting>
  <conditionalFormatting sqref="E106:E108">
    <cfRule type="colorScale" priority="11">
      <colorScale>
        <cfvo type="formula" val="1"/>
        <cfvo type="formula" val="2.5"/>
        <cfvo type="formula" val="4"/>
        <color rgb="FF6DCC32"/>
        <color rgb="FFFFC000"/>
        <color rgb="FFC00000"/>
      </colorScale>
    </cfRule>
  </conditionalFormatting>
  <conditionalFormatting sqref="G107:G108">
    <cfRule type="colorScale" priority="12">
      <colorScale>
        <cfvo type="formula" val="1"/>
        <cfvo type="formula" val="7.5"/>
        <cfvo type="formula" val="15"/>
        <color rgb="FF6DCC32"/>
        <color rgb="FFFFC000"/>
        <color rgb="FFC00000"/>
      </colorScale>
    </cfRule>
  </conditionalFormatting>
  <conditionalFormatting sqref="C3:C7">
    <cfRule type="colorScale" priority="13">
      <colorScale>
        <cfvo type="formula" val="1"/>
        <cfvo type="formula" val="2.5"/>
        <cfvo type="formula" val="4"/>
        <color rgb="FF6DCC32"/>
        <color rgb="FFFFE600"/>
        <color rgb="FFC00000"/>
      </colorScale>
    </cfRule>
  </conditionalFormatting>
  <conditionalFormatting sqref="E3:E7">
    <cfRule type="colorScale" priority="14">
      <colorScale>
        <cfvo type="formula" val="1"/>
        <cfvo type="formula" val="8.5"/>
        <cfvo type="formula" val="16"/>
        <color rgb="FF6DCC32"/>
        <color rgb="FFFFE600"/>
        <color rgb="FFC00000"/>
      </colorScale>
    </cfRule>
  </conditionalFormatting>
  <conditionalFormatting sqref="G106">
    <cfRule type="colorScale" priority="15">
      <colorScale>
        <cfvo type="formula" val="1"/>
        <cfvo type="formula" val="8.5"/>
        <cfvo type="formula" val="16"/>
        <color rgb="FF6DCC32"/>
        <color rgb="FFFFE600"/>
        <color rgb="FFC00000"/>
      </colorScale>
    </cfRule>
  </conditionalFormatting>
  <conditionalFormatting sqref="D3:D7">
    <cfRule type="colorScale" priority="16">
      <colorScale>
        <cfvo type="formula" val="1"/>
        <cfvo type="formula" val="2.5"/>
        <cfvo type="formula" val="4"/>
        <color rgb="FF6DCC32"/>
        <color rgb="FFFFE600"/>
        <color rgb="FFC00000"/>
      </colorScale>
    </cfRule>
  </conditionalFormatting>
  <dataValidations count="6">
    <dataValidation type="decimal" allowBlank="1" showInputMessage="1" showErrorMessage="1" prompt="Please enter a rating (1-3)" sqref="E3:E7 G13:G15 G44:G46 G75:G77 G106:G108" xr:uid="{00000000-0002-0000-0300-000000000000}">
      <formula1>1</formula1>
      <formula2>15</formula2>
    </dataValidation>
    <dataValidation type="list" allowBlank="1" showInputMessage="1" showErrorMessage="1" prompt="Please enter a rating (1-3)" sqref="E14 E45:E46 E76:E77 E107:E108" xr:uid="{00000000-0002-0000-0300-000001000000}">
      <formula1>"1,2,3"</formula1>
    </dataValidation>
    <dataValidation type="list" allowBlank="1" showErrorMessage="1" sqref="C9:C10" xr:uid="{00000000-0002-0000-0300-000002000000}">
      <formula1>$B$4:$B$7</formula1>
    </dataValidation>
    <dataValidation type="list" allowBlank="1" showInputMessage="1" showErrorMessage="1" prompt="Please enter a rating (1-5)" sqref="C14 C45 C76 C107" xr:uid="{00000000-0002-0000-0300-000003000000}">
      <formula1>"1,2,3"</formula1>
    </dataValidation>
    <dataValidation type="list" allowBlank="1" showInputMessage="1" showErrorMessage="1" prompt="Please enter a rating (1-5)" sqref="C13 C44 C75 C106" xr:uid="{00000000-0002-0000-0300-000004000000}">
      <formula1>"1,2,3,4"</formula1>
    </dataValidation>
    <dataValidation type="list" allowBlank="1" showInputMessage="1" showErrorMessage="1" prompt="Please enter a rating (1-3)" sqref="E13 E44 E75 E106" xr:uid="{00000000-0002-0000-0300-000005000000}">
      <formula1>"1,2,3,4"</formula1>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25.40625" customWidth="1"/>
    <col min="7" max="7" width="13.6796875" customWidth="1"/>
    <col min="8" max="8" width="12.26953125" customWidth="1"/>
    <col min="9" max="9" width="13.6796875" customWidth="1"/>
    <col min="10" max="27" width="8.86328125" customWidth="1"/>
  </cols>
  <sheetData>
    <row r="1" spans="1:27" ht="13.5" customHeight="1">
      <c r="A1" s="50"/>
      <c r="B1" s="91" t="s">
        <v>9</v>
      </c>
      <c r="C1" s="83"/>
      <c r="D1" s="83"/>
      <c r="E1" s="83"/>
      <c r="F1" s="84"/>
      <c r="G1" s="66"/>
      <c r="H1" s="50"/>
      <c r="I1" s="50"/>
      <c r="J1" s="50"/>
      <c r="K1" s="50"/>
      <c r="L1" s="50"/>
      <c r="M1" s="50"/>
      <c r="N1" s="50"/>
      <c r="O1" s="50"/>
      <c r="P1" s="50"/>
      <c r="Q1" s="50"/>
      <c r="R1" s="50"/>
      <c r="S1" s="50"/>
      <c r="T1" s="50"/>
      <c r="U1" s="50"/>
      <c r="V1" s="50"/>
      <c r="W1" s="50"/>
      <c r="X1" s="50"/>
      <c r="Y1" s="50"/>
      <c r="Z1" s="50"/>
      <c r="AA1" s="50"/>
    </row>
    <row r="2" spans="1:27" ht="13.5" customHeight="1">
      <c r="A2" s="14"/>
      <c r="B2" s="14"/>
      <c r="C2" s="60" t="s">
        <v>0</v>
      </c>
      <c r="D2" s="60" t="s">
        <v>1</v>
      </c>
      <c r="E2" s="60"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67">
        <f t="shared" ref="C3:D3" si="0">AVERAGE(C4:C8)</f>
        <v>2.2000000000000002</v>
      </c>
      <c r="D3" s="67">
        <f t="shared" si="0"/>
        <v>3.6</v>
      </c>
      <c r="E3" s="68">
        <f>ROUND(AVERAGE(E4:E8),0)</f>
        <v>7</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
        <v>10</v>
      </c>
      <c r="C4" s="69">
        <f>C14</f>
        <v>1</v>
      </c>
      <c r="D4" s="69">
        <f>E14</f>
        <v>4</v>
      </c>
      <c r="E4" s="28">
        <f t="shared" ref="E4:E8" si="1">C4*D4</f>
        <v>4</v>
      </c>
      <c r="F4" s="14"/>
      <c r="G4" s="14"/>
      <c r="H4" s="14"/>
      <c r="I4" s="14"/>
      <c r="J4" s="14"/>
      <c r="K4" s="14"/>
      <c r="L4" s="14"/>
      <c r="M4" s="14"/>
      <c r="N4" s="14"/>
      <c r="O4" s="14"/>
      <c r="P4" s="14"/>
      <c r="Q4" s="14"/>
      <c r="R4" s="14"/>
      <c r="S4" s="14"/>
      <c r="T4" s="14"/>
      <c r="U4" s="14"/>
      <c r="V4" s="14"/>
      <c r="W4" s="14"/>
      <c r="X4" s="14"/>
      <c r="Y4" s="14"/>
      <c r="Z4" s="14"/>
      <c r="AA4" s="14"/>
    </row>
    <row r="5" spans="1:27" ht="13.5" customHeight="1">
      <c r="A5" s="14"/>
      <c r="B5" s="14" t="s">
        <v>11</v>
      </c>
      <c r="C5" s="69">
        <f>C45</f>
        <v>2</v>
      </c>
      <c r="D5" s="69">
        <f>E45</f>
        <v>4</v>
      </c>
      <c r="E5" s="28">
        <f t="shared" si="1"/>
        <v>8</v>
      </c>
      <c r="F5" s="14"/>
      <c r="G5" s="14"/>
      <c r="H5" s="14"/>
      <c r="I5" s="14"/>
      <c r="J5" s="14"/>
      <c r="K5" s="14"/>
      <c r="L5" s="14"/>
      <c r="M5" s="14"/>
      <c r="N5" s="14"/>
      <c r="O5" s="14"/>
      <c r="P5" s="14"/>
      <c r="Q5" s="14"/>
      <c r="R5" s="14"/>
      <c r="S5" s="14"/>
      <c r="T5" s="14"/>
      <c r="U5" s="14"/>
      <c r="V5" s="14"/>
      <c r="W5" s="14"/>
      <c r="X5" s="14"/>
      <c r="Y5" s="14"/>
      <c r="Z5" s="14"/>
      <c r="AA5" s="14"/>
    </row>
    <row r="6" spans="1:27" ht="13.5" customHeight="1">
      <c r="A6" s="14"/>
      <c r="B6" s="14" t="s">
        <v>12</v>
      </c>
      <c r="C6" s="69">
        <f>C76</f>
        <v>1</v>
      </c>
      <c r="D6" s="69">
        <f>E76</f>
        <v>4</v>
      </c>
      <c r="E6" s="28">
        <f t="shared" si="1"/>
        <v>4</v>
      </c>
      <c r="F6" s="14"/>
      <c r="G6" s="14"/>
      <c r="H6" s="14"/>
      <c r="I6" s="14"/>
      <c r="J6" s="14"/>
      <c r="K6" s="14"/>
      <c r="L6" s="14"/>
      <c r="M6" s="14"/>
      <c r="N6" s="14"/>
      <c r="O6" s="14"/>
      <c r="P6" s="14"/>
      <c r="Q6" s="14"/>
      <c r="R6" s="14"/>
      <c r="S6" s="14"/>
      <c r="T6" s="14"/>
      <c r="U6" s="14"/>
      <c r="V6" s="14"/>
      <c r="W6" s="14"/>
      <c r="X6" s="14"/>
      <c r="Y6" s="14"/>
      <c r="Z6" s="14"/>
      <c r="AA6" s="14"/>
    </row>
    <row r="7" spans="1:27" ht="13.5" customHeight="1">
      <c r="A7" s="14"/>
      <c r="B7" s="14" t="s">
        <v>13</v>
      </c>
      <c r="C7" s="69">
        <f>C107</f>
        <v>4</v>
      </c>
      <c r="D7" s="69">
        <f>E107</f>
        <v>3</v>
      </c>
      <c r="E7" s="28">
        <f t="shared" si="1"/>
        <v>12</v>
      </c>
      <c r="F7" s="14"/>
      <c r="G7" s="14"/>
      <c r="H7" s="14"/>
      <c r="I7" s="14"/>
      <c r="J7" s="14"/>
      <c r="K7" s="14"/>
      <c r="L7" s="14"/>
      <c r="M7" s="14"/>
      <c r="N7" s="14"/>
      <c r="O7" s="14"/>
      <c r="P7" s="14"/>
      <c r="Q7" s="14"/>
      <c r="R7" s="14"/>
      <c r="S7" s="14"/>
      <c r="T7" s="14"/>
      <c r="U7" s="14"/>
      <c r="V7" s="14"/>
      <c r="W7" s="14"/>
      <c r="X7" s="14"/>
      <c r="Y7" s="14"/>
      <c r="Z7" s="14"/>
      <c r="AA7" s="14"/>
    </row>
    <row r="8" spans="1:27" ht="13.5" customHeight="1">
      <c r="A8" s="14"/>
      <c r="B8" s="14" t="s">
        <v>14</v>
      </c>
      <c r="C8" s="69">
        <f>C138</f>
        <v>3</v>
      </c>
      <c r="D8" s="69">
        <f>E138</f>
        <v>3</v>
      </c>
      <c r="E8" s="28">
        <f t="shared" si="1"/>
        <v>9</v>
      </c>
      <c r="F8" s="14"/>
      <c r="G8" s="14"/>
      <c r="H8" s="14"/>
      <c r="I8" s="14"/>
      <c r="J8" s="14"/>
      <c r="K8" s="14"/>
      <c r="L8" s="14"/>
      <c r="M8" s="14"/>
      <c r="N8" s="14"/>
      <c r="O8" s="14"/>
      <c r="P8" s="14"/>
      <c r="Q8" s="14"/>
      <c r="R8" s="14"/>
      <c r="S8" s="14"/>
      <c r="T8" s="14"/>
      <c r="U8" s="14"/>
      <c r="V8" s="14"/>
      <c r="W8" s="14"/>
      <c r="X8" s="14"/>
      <c r="Y8" s="14"/>
      <c r="Z8" s="14"/>
      <c r="AA8" s="14"/>
    </row>
    <row r="9" spans="1:27" ht="13.5"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14"/>
      <c r="B10" s="50" t="s">
        <v>171</v>
      </c>
      <c r="C10" s="53" t="s">
        <v>10</v>
      </c>
      <c r="D10" s="70" t="s">
        <v>172</v>
      </c>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row>
    <row r="12" spans="1:27" ht="13.5" customHeight="1">
      <c r="A12" s="14"/>
      <c r="B12" s="55" t="s">
        <v>10</v>
      </c>
      <c r="C12" s="56"/>
      <c r="D12" s="56"/>
      <c r="E12" s="56"/>
      <c r="F12" s="56"/>
      <c r="G12" s="56"/>
      <c r="H12" s="14"/>
      <c r="I12" s="14"/>
      <c r="J12" s="14"/>
      <c r="K12" s="14"/>
      <c r="L12" s="14"/>
      <c r="M12" s="14"/>
      <c r="N12" s="14"/>
      <c r="O12" s="14"/>
      <c r="P12" s="14"/>
      <c r="Q12" s="14"/>
      <c r="R12" s="14"/>
      <c r="S12" s="14"/>
      <c r="T12" s="14"/>
      <c r="U12" s="14"/>
      <c r="V12" s="14"/>
      <c r="W12" s="14"/>
      <c r="X12" s="14"/>
      <c r="Y12" s="14"/>
      <c r="Z12" s="14"/>
      <c r="AA12" s="14"/>
    </row>
    <row r="13" spans="1:27" ht="13.5"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row>
    <row r="14" spans="1:27" ht="13.5" customHeight="1">
      <c r="A14" s="14"/>
      <c r="B14" s="57" t="s">
        <v>0</v>
      </c>
      <c r="C14" s="58">
        <v>1</v>
      </c>
      <c r="D14" s="59" t="s">
        <v>1</v>
      </c>
      <c r="E14" s="58">
        <v>4</v>
      </c>
      <c r="F14" s="57" t="s">
        <v>2</v>
      </c>
      <c r="G14" s="58">
        <f>C14*E14</f>
        <v>4</v>
      </c>
      <c r="H14" s="14"/>
      <c r="I14" s="14"/>
      <c r="J14" s="14"/>
      <c r="K14" s="14"/>
      <c r="L14" s="14"/>
      <c r="M14" s="14"/>
      <c r="N14" s="14"/>
      <c r="O14" s="14"/>
      <c r="P14" s="14"/>
      <c r="Q14" s="14"/>
      <c r="R14" s="14"/>
      <c r="S14" s="14"/>
      <c r="T14" s="14"/>
      <c r="U14" s="14"/>
      <c r="V14" s="14"/>
      <c r="W14" s="14"/>
      <c r="X14" s="14"/>
      <c r="Y14" s="14"/>
      <c r="Z14" s="14"/>
      <c r="AA14" s="14"/>
    </row>
    <row r="15" spans="1:27" ht="13.5" customHeight="1">
      <c r="A15" s="14"/>
      <c r="B15" s="14"/>
      <c r="C15" s="14"/>
      <c r="D15" s="60"/>
      <c r="E15" s="14"/>
      <c r="F15" s="14"/>
      <c r="G15" s="14"/>
      <c r="H15" s="14"/>
      <c r="I15" s="14"/>
      <c r="J15" s="14"/>
      <c r="K15" s="14"/>
      <c r="L15" s="14"/>
      <c r="M15" s="14"/>
      <c r="N15" s="14"/>
      <c r="O15" s="14"/>
      <c r="P15" s="14"/>
      <c r="Q15" s="14"/>
      <c r="R15" s="14"/>
      <c r="S15" s="14"/>
      <c r="T15" s="14"/>
      <c r="U15" s="14"/>
      <c r="V15" s="14"/>
      <c r="W15" s="14"/>
      <c r="X15" s="14"/>
      <c r="Y15" s="14"/>
      <c r="Z15" s="14"/>
      <c r="AA15" s="14"/>
    </row>
    <row r="16" spans="1:27" ht="13.5" customHeight="1">
      <c r="A16" s="14"/>
      <c r="B16" s="89" t="s">
        <v>0</v>
      </c>
      <c r="C16" s="84"/>
      <c r="D16" s="92" t="s">
        <v>1</v>
      </c>
      <c r="E16" s="93"/>
      <c r="F16" s="14"/>
      <c r="G16" s="14"/>
      <c r="H16" s="14"/>
      <c r="I16" s="14"/>
      <c r="J16" s="14"/>
      <c r="K16" s="14"/>
      <c r="L16" s="14"/>
      <c r="M16" s="14"/>
      <c r="N16" s="14"/>
      <c r="O16" s="14"/>
      <c r="P16" s="14"/>
      <c r="Q16" s="14"/>
      <c r="R16" s="14"/>
      <c r="S16" s="14"/>
      <c r="T16" s="14"/>
      <c r="U16" s="14"/>
      <c r="V16" s="14"/>
      <c r="W16" s="14"/>
      <c r="X16" s="14"/>
      <c r="Y16" s="14"/>
      <c r="Z16" s="14"/>
      <c r="AA16" s="14"/>
    </row>
    <row r="17" spans="1:27" ht="155.25" customHeight="1">
      <c r="A17" s="14"/>
      <c r="B17" s="94" t="str">
        <f>VLOOKUP(C14,Instructions!B30:G33,1+MATCH(B12,Instructions!C29:G29,FALSE))</f>
        <v xml:space="preserve">▪  The culture and values of the business are primary drivers to attract and retain employees
▪  The People Plan plays a fundamental role in strategy and business performance by focusing on an agile workforce, diversity, and technology enablement
▪  Human resources planning is highly proactive and embraces technology and robotics to optimize productivity.
▪  Diversity, agility, and teamwork are embedded in the culture of the business and essential to achieving business goals.
</v>
      </c>
      <c r="C17" s="95"/>
      <c r="D17" s="96" t="str">
        <f>VLOOKUP(E14,Instructions!B8:C11,2,FALSE)</f>
        <v>▪ This aspect of the business is critical to the success of the business</v>
      </c>
      <c r="E17" s="97"/>
      <c r="F17" s="14"/>
      <c r="G17" s="14"/>
      <c r="H17" s="14"/>
      <c r="I17" s="14"/>
      <c r="J17" s="14"/>
      <c r="K17" s="14"/>
      <c r="L17" s="14"/>
      <c r="M17" s="14"/>
      <c r="N17" s="14"/>
      <c r="O17" s="14"/>
      <c r="P17" s="14"/>
      <c r="Q17" s="14"/>
      <c r="R17" s="14"/>
      <c r="S17" s="14"/>
      <c r="T17" s="14"/>
      <c r="U17" s="14"/>
      <c r="V17" s="14"/>
      <c r="W17" s="14"/>
      <c r="X17" s="14"/>
      <c r="Y17" s="14"/>
      <c r="Z17" s="14"/>
      <c r="AA17" s="14"/>
    </row>
    <row r="18" spans="1:27" ht="13.5"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row>
    <row r="19" spans="1:27" ht="13.5" customHeight="1">
      <c r="A19" s="14"/>
      <c r="B19" s="61" t="s">
        <v>173</v>
      </c>
      <c r="C19" s="62"/>
      <c r="D19" s="62"/>
      <c r="E19" s="62"/>
      <c r="F19" s="62"/>
      <c r="G19" s="62"/>
      <c r="H19" s="14"/>
      <c r="I19" s="14"/>
      <c r="J19" s="14"/>
      <c r="K19" s="14"/>
      <c r="L19" s="14"/>
      <c r="M19" s="14"/>
      <c r="N19" s="14"/>
      <c r="O19" s="14"/>
      <c r="P19" s="14"/>
      <c r="Q19" s="14"/>
      <c r="R19" s="14"/>
      <c r="S19" s="14"/>
      <c r="T19" s="14"/>
      <c r="U19" s="14"/>
      <c r="V19" s="14"/>
      <c r="W19" s="14"/>
      <c r="X19" s="14"/>
      <c r="Y19" s="14"/>
      <c r="Z19" s="14"/>
      <c r="AA19" s="14"/>
    </row>
    <row r="20" spans="1:27" ht="13.5" customHeight="1">
      <c r="A20" s="14"/>
      <c r="B20" s="37" t="s">
        <v>195</v>
      </c>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customHeight="1">
      <c r="A21" s="14"/>
      <c r="B21" s="37" t="s">
        <v>196</v>
      </c>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customHeight="1">
      <c r="A22" s="14"/>
      <c r="B22" s="37" t="s">
        <v>197</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customHeight="1">
      <c r="A23" s="14"/>
      <c r="B23" s="63"/>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customHeight="1">
      <c r="A24" s="14"/>
      <c r="B24" s="63"/>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customHeight="1">
      <c r="A25" s="14"/>
      <c r="B25" s="63"/>
      <c r="C25" s="1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customHeight="1">
      <c r="A27" s="14"/>
      <c r="B27" s="14"/>
      <c r="C27" s="64"/>
      <c r="D27" s="14"/>
      <c r="E27" s="14"/>
      <c r="F27" s="14"/>
      <c r="G27" s="14"/>
      <c r="H27" s="14"/>
      <c r="I27" s="14"/>
      <c r="J27" s="14"/>
      <c r="K27" s="14"/>
      <c r="L27" s="14"/>
      <c r="M27" s="14"/>
      <c r="N27" s="14"/>
      <c r="O27" s="14"/>
      <c r="P27" s="14"/>
      <c r="Q27" s="14"/>
      <c r="R27" s="14"/>
      <c r="S27" s="14"/>
      <c r="T27" s="14"/>
      <c r="U27" s="14"/>
      <c r="V27" s="14"/>
      <c r="W27" s="14"/>
      <c r="X27" s="14"/>
      <c r="Y27" s="14"/>
      <c r="Z27" s="14"/>
      <c r="AA27" s="14"/>
    </row>
    <row r="28" spans="1:27" ht="13.5" customHeight="1">
      <c r="A28" s="14"/>
      <c r="B28" s="61" t="s">
        <v>181</v>
      </c>
      <c r="C28" s="62"/>
      <c r="D28" s="62"/>
      <c r="E28" s="62"/>
      <c r="F28" s="62"/>
      <c r="G28" s="62"/>
      <c r="H28" s="14"/>
      <c r="I28" s="14"/>
      <c r="J28" s="14"/>
      <c r="K28" s="14"/>
      <c r="L28" s="14"/>
      <c r="M28" s="14"/>
      <c r="N28" s="14"/>
      <c r="O28" s="14"/>
      <c r="P28" s="14"/>
      <c r="Q28" s="14"/>
      <c r="R28" s="14"/>
      <c r="S28" s="14"/>
      <c r="T28" s="14"/>
      <c r="U28" s="14"/>
      <c r="V28" s="14"/>
      <c r="W28" s="14"/>
      <c r="X28" s="14"/>
      <c r="Y28" s="14"/>
      <c r="Z28" s="14"/>
      <c r="AA28" s="14"/>
    </row>
    <row r="29" spans="1:27" ht="13.5"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spans="1:27" ht="13.5" customHeight="1">
      <c r="A35" s="14"/>
      <c r="B35" s="61" t="s">
        <v>182</v>
      </c>
      <c r="C35" s="62"/>
      <c r="D35" s="62"/>
      <c r="E35" s="62"/>
      <c r="F35" s="62"/>
      <c r="G35" s="62"/>
      <c r="H35" s="14"/>
      <c r="I35" s="14"/>
      <c r="J35" s="14"/>
      <c r="K35" s="14"/>
      <c r="L35" s="14"/>
      <c r="M35" s="14"/>
      <c r="N35" s="14"/>
      <c r="O35" s="14"/>
      <c r="P35" s="14"/>
      <c r="Q35" s="14"/>
      <c r="R35" s="14"/>
      <c r="S35" s="14"/>
      <c r="T35" s="14"/>
      <c r="U35" s="14"/>
      <c r="V35" s="14"/>
      <c r="W35" s="14"/>
      <c r="X35" s="14"/>
      <c r="Y35" s="14"/>
      <c r="Z35" s="14"/>
      <c r="AA35" s="14"/>
    </row>
    <row r="36" spans="1:27" ht="13.5"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customHeight="1">
      <c r="A38" s="14"/>
      <c r="B38" s="50"/>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customHeight="1">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row>
    <row r="42" spans="1:27" ht="13.5" customHeight="1">
      <c r="A42" s="14"/>
      <c r="B42" s="56" t="s">
        <v>183</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hidden="1" customHeight="1">
      <c r="A43" s="14"/>
      <c r="B43" s="55" t="s">
        <v>11</v>
      </c>
      <c r="C43" s="56"/>
      <c r="D43" s="56"/>
      <c r="E43" s="56"/>
      <c r="F43" s="56"/>
      <c r="G43" s="56"/>
      <c r="H43" s="14"/>
      <c r="I43" s="14"/>
      <c r="J43" s="14"/>
      <c r="K43" s="14"/>
      <c r="L43" s="14"/>
      <c r="M43" s="14"/>
      <c r="N43" s="14"/>
      <c r="O43" s="14"/>
      <c r="P43" s="14"/>
      <c r="Q43" s="14"/>
      <c r="R43" s="14"/>
      <c r="S43" s="14"/>
      <c r="T43" s="14"/>
      <c r="U43" s="14"/>
      <c r="V43" s="14"/>
      <c r="W43" s="14"/>
      <c r="X43" s="14"/>
      <c r="Y43" s="14"/>
      <c r="Z43" s="14"/>
      <c r="AA43" s="14"/>
    </row>
    <row r="44" spans="1:27" ht="13.5" hidden="1" customHeight="1">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row>
    <row r="45" spans="1:27" ht="13.5" hidden="1" customHeight="1">
      <c r="A45" s="14"/>
      <c r="B45" s="57" t="s">
        <v>0</v>
      </c>
      <c r="C45" s="58">
        <v>2</v>
      </c>
      <c r="D45" s="59" t="s">
        <v>1</v>
      </c>
      <c r="E45" s="58">
        <v>4</v>
      </c>
      <c r="F45" s="57" t="s">
        <v>2</v>
      </c>
      <c r="G45" s="58">
        <f>C45*E45</f>
        <v>8</v>
      </c>
      <c r="H45" s="14"/>
      <c r="I45" s="14"/>
      <c r="J45" s="14"/>
      <c r="K45" s="14"/>
      <c r="L45" s="14"/>
      <c r="M45" s="14"/>
      <c r="N45" s="14"/>
      <c r="O45" s="14"/>
      <c r="P45" s="14"/>
      <c r="Q45" s="14"/>
      <c r="R45" s="14"/>
      <c r="S45" s="14"/>
      <c r="T45" s="14"/>
      <c r="U45" s="14"/>
      <c r="V45" s="14"/>
      <c r="W45" s="14"/>
      <c r="X45" s="14"/>
      <c r="Y45" s="14"/>
      <c r="Z45" s="14"/>
      <c r="AA45" s="14"/>
    </row>
    <row r="46" spans="1:27" ht="13.5" hidden="1" customHeight="1">
      <c r="A46" s="14"/>
      <c r="B46" s="14"/>
      <c r="C46" s="1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13.5" hidden="1" customHeight="1">
      <c r="A47" s="14"/>
      <c r="B47" s="89" t="s">
        <v>0</v>
      </c>
      <c r="C47" s="84"/>
      <c r="D47" s="60"/>
      <c r="E47" s="14"/>
      <c r="F47" s="14"/>
      <c r="G47" s="14"/>
      <c r="H47" s="14"/>
      <c r="I47" s="14"/>
      <c r="J47" s="14"/>
      <c r="K47" s="14"/>
      <c r="L47" s="14"/>
      <c r="M47" s="14"/>
      <c r="N47" s="14"/>
      <c r="O47" s="14"/>
      <c r="P47" s="14"/>
      <c r="Q47" s="14"/>
      <c r="R47" s="14"/>
      <c r="S47" s="14"/>
      <c r="T47" s="14"/>
      <c r="U47" s="14"/>
      <c r="V47" s="14"/>
      <c r="W47" s="14"/>
      <c r="X47" s="14"/>
      <c r="Y47" s="14"/>
      <c r="Z47" s="14"/>
      <c r="AA47" s="14"/>
    </row>
    <row r="48" spans="1:27" ht="99" hidden="1" customHeight="1">
      <c r="A48" s="14"/>
      <c r="B48" s="88" t="str">
        <f>VLOOKUP(C45,Instructions!B30:G33,1+MATCH(B43,Instructions!C29:G29,FALSE))</f>
        <v xml:space="preserve">▪  There is a framework for aligning performance management with business strategy
▪  Cascading business objectives and goals are linked to rewards
▪  Values are embedded in performance management
</v>
      </c>
      <c r="C48" s="84"/>
      <c r="D48" s="90" t="str">
        <f>VLOOKUP(E45,Instructions!B8:C11,2,FALSE)</f>
        <v>▪ This aspect of the business is critical to the success of the business</v>
      </c>
      <c r="E48" s="84"/>
      <c r="F48" s="14"/>
      <c r="G48" s="14"/>
      <c r="H48" s="14"/>
      <c r="I48" s="14"/>
      <c r="J48" s="14"/>
      <c r="K48" s="14"/>
      <c r="L48" s="14"/>
      <c r="M48" s="14"/>
      <c r="N48" s="14"/>
      <c r="O48" s="14"/>
      <c r="P48" s="14"/>
      <c r="Q48" s="14"/>
      <c r="R48" s="14"/>
      <c r="S48" s="14"/>
      <c r="T48" s="14"/>
      <c r="U48" s="14"/>
      <c r="V48" s="14"/>
      <c r="W48" s="14"/>
      <c r="X48" s="14"/>
      <c r="Y48" s="14"/>
      <c r="Z48" s="14"/>
      <c r="AA48" s="14"/>
    </row>
    <row r="49" spans="1:27" ht="13.5" hidden="1"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row>
    <row r="50" spans="1:27" ht="13.5" hidden="1" customHeight="1">
      <c r="A50" s="14"/>
      <c r="B50" s="61" t="s">
        <v>173</v>
      </c>
      <c r="C50" s="62"/>
      <c r="D50" s="62"/>
      <c r="E50" s="62"/>
      <c r="F50" s="62"/>
      <c r="G50" s="62"/>
      <c r="H50" s="14"/>
      <c r="I50" s="14"/>
      <c r="J50" s="14"/>
      <c r="K50" s="14"/>
      <c r="L50" s="14"/>
      <c r="M50" s="14"/>
      <c r="N50" s="14"/>
      <c r="O50" s="14"/>
      <c r="P50" s="14"/>
      <c r="Q50" s="14"/>
      <c r="R50" s="14"/>
      <c r="S50" s="14"/>
      <c r="T50" s="14"/>
      <c r="U50" s="14"/>
      <c r="V50" s="14"/>
      <c r="W50" s="14"/>
      <c r="X50" s="14"/>
      <c r="Y50" s="14"/>
      <c r="Z50" s="14"/>
      <c r="AA50" s="14"/>
    </row>
    <row r="51" spans="1:27" ht="13.5" hidden="1" customHeight="1">
      <c r="A51" s="14"/>
      <c r="B51" s="63" t="s">
        <v>198</v>
      </c>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hidden="1" customHeight="1">
      <c r="A52" s="14"/>
      <c r="B52" s="63" t="s">
        <v>199</v>
      </c>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hidden="1" customHeight="1">
      <c r="A53" s="14"/>
      <c r="B53" s="63" t="s">
        <v>200</v>
      </c>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hidden="1" customHeight="1">
      <c r="A54" s="14"/>
      <c r="B54" s="63" t="s">
        <v>201</v>
      </c>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hidden="1" customHeight="1">
      <c r="A55" s="14"/>
      <c r="B55" s="63" t="s">
        <v>202</v>
      </c>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hidden="1" customHeight="1">
      <c r="A56" s="14"/>
      <c r="B56" s="63" t="s">
        <v>203</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hidden="1"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hidden="1" customHeight="1">
      <c r="A58" s="14"/>
      <c r="B58" s="14"/>
      <c r="C58" s="64"/>
      <c r="D58" s="14"/>
      <c r="E58" s="14"/>
      <c r="F58" s="14"/>
      <c r="G58" s="14"/>
      <c r="H58" s="14"/>
      <c r="I58" s="14"/>
      <c r="J58" s="14"/>
      <c r="K58" s="14"/>
      <c r="L58" s="14"/>
      <c r="M58" s="14"/>
      <c r="N58" s="14"/>
      <c r="O58" s="14"/>
      <c r="P58" s="14"/>
      <c r="Q58" s="14"/>
      <c r="R58" s="14"/>
      <c r="S58" s="14"/>
      <c r="T58" s="14"/>
      <c r="U58" s="14"/>
      <c r="V58" s="14"/>
      <c r="W58" s="14"/>
      <c r="X58" s="14"/>
      <c r="Y58" s="14"/>
      <c r="Z58" s="14"/>
      <c r="AA58" s="14"/>
    </row>
    <row r="59" spans="1:27" ht="13.5" hidden="1" customHeight="1">
      <c r="A59" s="14"/>
      <c r="B59" s="61" t="s">
        <v>181</v>
      </c>
      <c r="C59" s="62"/>
      <c r="D59" s="62"/>
      <c r="E59" s="62"/>
      <c r="F59" s="62"/>
      <c r="G59" s="62"/>
      <c r="H59" s="14"/>
      <c r="I59" s="14"/>
      <c r="J59" s="14"/>
      <c r="K59" s="14"/>
      <c r="L59" s="14"/>
      <c r="M59" s="14"/>
      <c r="N59" s="14"/>
      <c r="O59" s="14"/>
      <c r="P59" s="14"/>
      <c r="Q59" s="14"/>
      <c r="R59" s="14"/>
      <c r="S59" s="14"/>
      <c r="T59" s="14"/>
      <c r="U59" s="14"/>
      <c r="V59" s="14"/>
      <c r="W59" s="14"/>
      <c r="X59" s="14"/>
      <c r="Y59" s="14"/>
      <c r="Z59" s="14"/>
      <c r="AA59" s="14"/>
    </row>
    <row r="60" spans="1:27" ht="13.5" hidden="1"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hidden="1"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hidden="1"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hidden="1"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hidden="1"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hidden="1"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spans="1:27" ht="13.5" hidden="1" customHeight="1">
      <c r="A66" s="14"/>
      <c r="B66" s="61" t="s">
        <v>182</v>
      </c>
      <c r="C66" s="62"/>
      <c r="D66" s="62"/>
      <c r="E66" s="62"/>
      <c r="F66" s="62"/>
      <c r="G66" s="62"/>
      <c r="H66" s="14"/>
      <c r="I66" s="14"/>
      <c r="J66" s="14"/>
      <c r="K66" s="14"/>
      <c r="L66" s="14"/>
      <c r="M66" s="14"/>
      <c r="N66" s="14"/>
      <c r="O66" s="14"/>
      <c r="P66" s="14"/>
      <c r="Q66" s="14"/>
      <c r="R66" s="14"/>
      <c r="S66" s="14"/>
      <c r="T66" s="14"/>
      <c r="U66" s="14"/>
      <c r="V66" s="14"/>
      <c r="W66" s="14"/>
      <c r="X66" s="14"/>
      <c r="Y66" s="14"/>
      <c r="Z66" s="14"/>
      <c r="AA66" s="14"/>
    </row>
    <row r="67" spans="1:27" ht="13.5" hidden="1"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hidden="1"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hidden="1" customHeight="1">
      <c r="A69" s="14"/>
      <c r="B69" s="50"/>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hidden="1"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hidden="1"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hidden="1"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spans="1:27" ht="13.5" hidden="1" customHeight="1">
      <c r="A73" s="14"/>
      <c r="B73" s="56" t="s">
        <v>183</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55" t="s">
        <v>12</v>
      </c>
      <c r="C74" s="56"/>
      <c r="D74" s="56"/>
      <c r="E74" s="56"/>
      <c r="F74" s="56"/>
      <c r="G74" s="56"/>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57" t="s">
        <v>0</v>
      </c>
      <c r="C76" s="58">
        <v>1</v>
      </c>
      <c r="D76" s="59" t="s">
        <v>1</v>
      </c>
      <c r="E76" s="58">
        <v>4</v>
      </c>
      <c r="F76" s="57" t="s">
        <v>2</v>
      </c>
      <c r="G76" s="58">
        <f>C76*E76</f>
        <v>4</v>
      </c>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14"/>
      <c r="C77" s="1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13.5" hidden="1" customHeight="1">
      <c r="A78" s="14"/>
      <c r="B78" s="89" t="s">
        <v>0</v>
      </c>
      <c r="C78" s="84"/>
      <c r="D78" s="60"/>
      <c r="E78" s="14"/>
      <c r="F78" s="14"/>
      <c r="G78" s="14"/>
      <c r="H78" s="14"/>
      <c r="I78" s="14"/>
      <c r="J78" s="14"/>
      <c r="K78" s="14"/>
      <c r="L78" s="14"/>
      <c r="M78" s="14"/>
      <c r="N78" s="14"/>
      <c r="O78" s="14"/>
      <c r="P78" s="14"/>
      <c r="Q78" s="14"/>
      <c r="R78" s="14"/>
      <c r="S78" s="14"/>
      <c r="T78" s="14"/>
      <c r="U78" s="14"/>
      <c r="V78" s="14"/>
      <c r="W78" s="14"/>
      <c r="X78" s="14"/>
      <c r="Y78" s="14"/>
      <c r="Z78" s="14"/>
      <c r="AA78" s="14"/>
    </row>
    <row r="79" spans="1:27" ht="131.25" hidden="1" customHeight="1">
      <c r="A79" s="14"/>
      <c r="B79" s="88" t="str">
        <f>VLOOKUP(C76,Instructions!B30:G33,1+MATCH(B74,Instructions!C29:G29,FALSE))</f>
        <v>▪ Expansion into new product are or markets.
▪ Continuous growth is enabled by an agile workforce.
▪ The business gives employees time to explore novel concepts for ideas.
▪ The company may have groups or pods devoted to innovation.
▪ Innovation is tied to performance-managed rewards and succession: leaders are champions of innovation.</v>
      </c>
      <c r="C79" s="84"/>
      <c r="D79" s="90" t="str">
        <f>VLOOKUP(E76,Instructions!B8:C11,2,FALSE)</f>
        <v>▪ This aspect of the business is critical to the success of the business</v>
      </c>
      <c r="E79" s="8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1" t="s">
        <v>173</v>
      </c>
      <c r="C81" s="62"/>
      <c r="D81" s="62"/>
      <c r="E81" s="62"/>
      <c r="F81" s="62"/>
      <c r="G81" s="62"/>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63" t="s">
        <v>198</v>
      </c>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t="s">
        <v>199</v>
      </c>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t="s">
        <v>200</v>
      </c>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t="s">
        <v>201</v>
      </c>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t="s">
        <v>202</v>
      </c>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63" t="s">
        <v>203</v>
      </c>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14"/>
      <c r="C89" s="64"/>
      <c r="D89" s="14"/>
      <c r="E89" s="14"/>
      <c r="F89" s="14"/>
      <c r="G89" s="14"/>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61" t="s">
        <v>181</v>
      </c>
      <c r="C90" s="62"/>
      <c r="D90" s="62"/>
      <c r="E90" s="62"/>
      <c r="F90" s="62"/>
      <c r="G90" s="62"/>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61" t="s">
        <v>182</v>
      </c>
      <c r="C97" s="62"/>
      <c r="D97" s="62"/>
      <c r="E97" s="62"/>
      <c r="F97" s="62"/>
      <c r="G97" s="62"/>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50"/>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6" t="s">
        <v>183</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hidden="1" customHeight="1">
      <c r="A105" s="14"/>
      <c r="B105" s="55" t="s">
        <v>13</v>
      </c>
      <c r="C105" s="56"/>
      <c r="D105" s="56"/>
      <c r="E105" s="56"/>
      <c r="F105" s="56"/>
      <c r="G105" s="56"/>
      <c r="H105" s="14"/>
      <c r="I105" s="14"/>
      <c r="J105" s="14"/>
      <c r="K105" s="14"/>
      <c r="L105" s="14"/>
      <c r="M105" s="14"/>
      <c r="N105" s="14"/>
      <c r="O105" s="14"/>
      <c r="P105" s="14"/>
      <c r="Q105" s="14"/>
      <c r="R105" s="14"/>
      <c r="S105" s="14"/>
      <c r="T105" s="14"/>
      <c r="U105" s="14"/>
      <c r="V105" s="14"/>
      <c r="W105" s="14"/>
      <c r="X105" s="14"/>
      <c r="Y105" s="14"/>
      <c r="Z105" s="14"/>
      <c r="AA105" s="14"/>
    </row>
    <row r="106" spans="1:27" ht="13.5" hidden="1"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spans="1:27" ht="13.5" hidden="1" customHeight="1">
      <c r="A107" s="14"/>
      <c r="B107" s="57" t="s">
        <v>0</v>
      </c>
      <c r="C107" s="58">
        <v>4</v>
      </c>
      <c r="D107" s="59" t="s">
        <v>1</v>
      </c>
      <c r="E107" s="58">
        <v>3</v>
      </c>
      <c r="F107" s="57" t="s">
        <v>2</v>
      </c>
      <c r="G107" s="58">
        <f>C107*E107</f>
        <v>12</v>
      </c>
      <c r="H107" s="14"/>
      <c r="I107" s="14"/>
      <c r="J107" s="14"/>
      <c r="K107" s="14"/>
      <c r="L107" s="14"/>
      <c r="M107" s="14"/>
      <c r="N107" s="14"/>
      <c r="O107" s="14"/>
      <c r="P107" s="14"/>
      <c r="Q107" s="14"/>
      <c r="R107" s="14"/>
      <c r="S107" s="14"/>
      <c r="T107" s="14"/>
      <c r="U107" s="14"/>
      <c r="V107" s="14"/>
      <c r="W107" s="14"/>
      <c r="X107" s="14"/>
      <c r="Y107" s="14"/>
      <c r="Z107" s="14"/>
      <c r="AA107" s="14"/>
    </row>
    <row r="108" spans="1:27" ht="13.5" hidden="1" customHeight="1">
      <c r="A108" s="14"/>
      <c r="B108" s="14"/>
      <c r="C108" s="14"/>
      <c r="D108" s="60"/>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spans="1:27" ht="13.5" hidden="1" customHeight="1">
      <c r="A109" s="14"/>
      <c r="B109" s="89" t="s">
        <v>0</v>
      </c>
      <c r="C109" s="84"/>
      <c r="D109" s="60"/>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99" hidden="1" customHeight="1">
      <c r="A110" s="14"/>
      <c r="B110" s="88" t="str">
        <f>VLOOKUP(C107,Instructions!B30:G33,1+MATCH(B105,Instructions!C29:G29,FALSE))</f>
        <v>▪ Leadership does not have the ability to inspire and lead the company</v>
      </c>
      <c r="C110" s="84"/>
      <c r="D110" s="90" t="str">
        <f>VLOOKUP(E107,Instructions!B8:C11,2,FALSE)</f>
        <v>▪ This aspect of the business is of neutral importance to the success of the business</v>
      </c>
      <c r="E110" s="8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hidden="1"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spans="1:27" ht="13.5" hidden="1" customHeight="1">
      <c r="A112" s="14"/>
      <c r="B112" s="61" t="s">
        <v>173</v>
      </c>
      <c r="C112" s="62"/>
      <c r="D112" s="62"/>
      <c r="E112" s="62"/>
      <c r="F112" s="62"/>
      <c r="G112" s="62"/>
      <c r="H112" s="14"/>
      <c r="I112" s="14"/>
      <c r="J112" s="14"/>
      <c r="K112" s="14"/>
      <c r="L112" s="14"/>
      <c r="M112" s="14"/>
      <c r="N112" s="14"/>
      <c r="O112" s="14"/>
      <c r="P112" s="14"/>
      <c r="Q112" s="14"/>
      <c r="R112" s="14"/>
      <c r="S112" s="14"/>
      <c r="T112" s="14"/>
      <c r="U112" s="14"/>
      <c r="V112" s="14"/>
      <c r="W112" s="14"/>
      <c r="X112" s="14"/>
      <c r="Y112" s="14"/>
      <c r="Z112" s="14"/>
      <c r="AA112" s="14"/>
    </row>
    <row r="113" spans="1:27" ht="13.5" hidden="1" customHeight="1">
      <c r="A113" s="14"/>
      <c r="B113" s="63" t="s">
        <v>198</v>
      </c>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hidden="1" customHeight="1">
      <c r="A114" s="14"/>
      <c r="B114" s="63" t="s">
        <v>199</v>
      </c>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hidden="1" customHeight="1">
      <c r="A115" s="14"/>
      <c r="B115" s="63" t="s">
        <v>200</v>
      </c>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hidden="1" customHeight="1">
      <c r="A116" s="14"/>
      <c r="B116" s="63" t="s">
        <v>201</v>
      </c>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hidden="1" customHeight="1">
      <c r="A117" s="14"/>
      <c r="B117" s="63" t="s">
        <v>202</v>
      </c>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hidden="1" customHeight="1">
      <c r="A118" s="14"/>
      <c r="B118" s="63" t="s">
        <v>203</v>
      </c>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hidden="1"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hidden="1" customHeight="1">
      <c r="A120" s="14"/>
      <c r="B120" s="14"/>
      <c r="C120" s="6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spans="1:27" ht="13.5" hidden="1" customHeight="1">
      <c r="A121" s="14"/>
      <c r="B121" s="61" t="s">
        <v>181</v>
      </c>
      <c r="C121" s="62"/>
      <c r="D121" s="62"/>
      <c r="E121" s="62"/>
      <c r="F121" s="62"/>
      <c r="G121" s="62"/>
      <c r="H121" s="14"/>
      <c r="I121" s="14"/>
      <c r="J121" s="14"/>
      <c r="K121" s="14"/>
      <c r="L121" s="14"/>
      <c r="M121" s="14"/>
      <c r="N121" s="14"/>
      <c r="O121" s="14"/>
      <c r="P121" s="14"/>
      <c r="Q121" s="14"/>
      <c r="R121" s="14"/>
      <c r="S121" s="14"/>
      <c r="T121" s="14"/>
      <c r="U121" s="14"/>
      <c r="V121" s="14"/>
      <c r="W121" s="14"/>
      <c r="X121" s="14"/>
      <c r="Y121" s="14"/>
      <c r="Z121" s="14"/>
      <c r="AA121" s="14"/>
    </row>
    <row r="122" spans="1:27" ht="13.5" hidden="1"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hidden="1"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hidden="1"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hidden="1"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hidden="1"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hidden="1"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spans="1:27" ht="13.5" hidden="1" customHeight="1">
      <c r="A128" s="14"/>
      <c r="B128" s="61" t="s">
        <v>182</v>
      </c>
      <c r="C128" s="62"/>
      <c r="D128" s="62"/>
      <c r="E128" s="62"/>
      <c r="F128" s="62"/>
      <c r="G128" s="62"/>
      <c r="H128" s="14"/>
      <c r="I128" s="14"/>
      <c r="J128" s="14"/>
      <c r="K128" s="14"/>
      <c r="L128" s="14"/>
      <c r="M128" s="14"/>
      <c r="N128" s="14"/>
      <c r="O128" s="14"/>
      <c r="P128" s="14"/>
      <c r="Q128" s="14"/>
      <c r="R128" s="14"/>
      <c r="S128" s="14"/>
      <c r="T128" s="14"/>
      <c r="U128" s="14"/>
      <c r="V128" s="14"/>
      <c r="W128" s="14"/>
      <c r="X128" s="14"/>
      <c r="Y128" s="14"/>
      <c r="Z128" s="14"/>
      <c r="AA128" s="14"/>
    </row>
    <row r="129" spans="1:27" ht="13.5" hidden="1"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hidden="1"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hidden="1" customHeight="1">
      <c r="A131" s="14"/>
      <c r="B131" s="50"/>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hidden="1"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hidden="1"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hidden="1"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spans="1:27" ht="13.5" hidden="1" customHeight="1">
      <c r="A135" s="14"/>
      <c r="B135" s="56" t="s">
        <v>183</v>
      </c>
      <c r="C135" s="56"/>
      <c r="D135" s="56"/>
      <c r="E135" s="56"/>
      <c r="F135" s="56"/>
      <c r="G135" s="56"/>
      <c r="H135" s="14"/>
      <c r="I135" s="14"/>
      <c r="J135" s="14"/>
      <c r="K135" s="14"/>
      <c r="L135" s="14"/>
      <c r="M135" s="14"/>
      <c r="N135" s="14"/>
      <c r="O135" s="14"/>
      <c r="P135" s="14"/>
      <c r="Q135" s="14"/>
      <c r="R135" s="14"/>
      <c r="S135" s="14"/>
      <c r="T135" s="14"/>
      <c r="U135" s="14"/>
      <c r="V135" s="14"/>
      <c r="W135" s="14"/>
      <c r="X135" s="14"/>
      <c r="Y135" s="14"/>
      <c r="Z135" s="14"/>
      <c r="AA135" s="14"/>
    </row>
    <row r="136" spans="1:27" ht="13.5" hidden="1" customHeight="1">
      <c r="A136" s="14"/>
      <c r="B136" s="55" t="s">
        <v>14</v>
      </c>
      <c r="C136" s="56"/>
      <c r="D136" s="56"/>
      <c r="E136" s="56"/>
      <c r="F136" s="56"/>
      <c r="G136" s="56"/>
      <c r="H136" s="14"/>
      <c r="I136" s="14"/>
      <c r="J136" s="14"/>
      <c r="K136" s="14"/>
      <c r="L136" s="14"/>
      <c r="M136" s="14"/>
      <c r="N136" s="14"/>
      <c r="O136" s="14"/>
      <c r="P136" s="14"/>
      <c r="Q136" s="14"/>
      <c r="R136" s="14"/>
      <c r="S136" s="14"/>
      <c r="T136" s="14"/>
      <c r="U136" s="14"/>
      <c r="V136" s="14"/>
      <c r="W136" s="14"/>
      <c r="X136" s="14"/>
      <c r="Y136" s="14"/>
      <c r="Z136" s="14"/>
      <c r="AA136" s="14"/>
    </row>
    <row r="137" spans="1:27" ht="13.5" hidden="1"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hidden="1" customHeight="1">
      <c r="A138" s="14"/>
      <c r="B138" s="57" t="s">
        <v>0</v>
      </c>
      <c r="C138" s="58">
        <v>3</v>
      </c>
      <c r="D138" s="59" t="s">
        <v>1</v>
      </c>
      <c r="E138" s="58">
        <v>3</v>
      </c>
      <c r="F138" s="57" t="s">
        <v>2</v>
      </c>
      <c r="G138" s="58">
        <f>C138*E138</f>
        <v>9</v>
      </c>
      <c r="H138" s="14"/>
      <c r="I138" s="14"/>
      <c r="J138" s="14"/>
      <c r="K138" s="14"/>
      <c r="L138" s="14"/>
      <c r="M138" s="14"/>
      <c r="N138" s="14"/>
      <c r="O138" s="14"/>
      <c r="P138" s="14"/>
      <c r="Q138" s="14"/>
      <c r="R138" s="14"/>
      <c r="S138" s="14"/>
      <c r="T138" s="14"/>
      <c r="U138" s="14"/>
      <c r="V138" s="14"/>
      <c r="W138" s="14"/>
      <c r="X138" s="14"/>
      <c r="Y138" s="14"/>
      <c r="Z138" s="14"/>
      <c r="AA138" s="14"/>
    </row>
    <row r="139" spans="1:27" ht="13.5" hidden="1" customHeight="1">
      <c r="A139" s="14"/>
      <c r="B139" s="14"/>
      <c r="C139" s="14"/>
      <c r="D139" s="60"/>
      <c r="E139" s="14"/>
      <c r="F139" s="14"/>
      <c r="G139" s="14"/>
      <c r="H139" s="14"/>
      <c r="I139" s="14"/>
      <c r="J139" s="14"/>
      <c r="K139" s="14"/>
      <c r="L139" s="14"/>
      <c r="M139" s="14"/>
      <c r="N139" s="14"/>
      <c r="O139" s="14"/>
      <c r="P139" s="14"/>
      <c r="Q139" s="14"/>
      <c r="R139" s="14"/>
      <c r="S139" s="14"/>
      <c r="T139" s="14"/>
      <c r="U139" s="14"/>
      <c r="V139" s="14"/>
      <c r="W139" s="14"/>
      <c r="X139" s="14"/>
      <c r="Y139" s="14"/>
      <c r="Z139" s="14"/>
      <c r="AA139" s="14"/>
    </row>
    <row r="140" spans="1:27" ht="13.5" hidden="1" customHeight="1">
      <c r="A140" s="14"/>
      <c r="B140" s="89" t="s">
        <v>0</v>
      </c>
      <c r="C140" s="84"/>
      <c r="D140" s="60"/>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99" hidden="1" customHeight="1">
      <c r="A141" s="14"/>
      <c r="B141" s="88" t="str">
        <f>VLOOKUP(C138,Instructions!B30:G33,1+MATCH(People!B136,Instructions!C29:G29,FALSE))</f>
        <v>▪ Rewards are provided to attracts and retain individuals and business objectives
▪ Bonuses are used to reward high performance</v>
      </c>
      <c r="C141" s="84"/>
      <c r="D141" s="90" t="str">
        <f>VLOOKUP(E138,Instructions!B8:C11,2,FALSE)</f>
        <v>▪ This aspect of the business is of neutral importance to the success of the business</v>
      </c>
      <c r="E141" s="8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hidden="1" customHeight="1">
      <c r="A143" s="14"/>
      <c r="B143" s="61" t="s">
        <v>173</v>
      </c>
      <c r="C143" s="62"/>
      <c r="D143" s="62"/>
      <c r="E143" s="62"/>
      <c r="F143" s="62"/>
      <c r="G143" s="62"/>
      <c r="H143" s="14"/>
      <c r="I143" s="14"/>
      <c r="J143" s="14"/>
      <c r="K143" s="14"/>
      <c r="L143" s="14"/>
      <c r="M143" s="14"/>
      <c r="N143" s="14"/>
      <c r="O143" s="14"/>
      <c r="P143" s="14"/>
      <c r="Q143" s="14"/>
      <c r="R143" s="14"/>
      <c r="S143" s="14"/>
      <c r="T143" s="14"/>
      <c r="U143" s="14"/>
      <c r="V143" s="14"/>
      <c r="W143" s="14"/>
      <c r="X143" s="14"/>
      <c r="Y143" s="14"/>
      <c r="Z143" s="14"/>
      <c r="AA143" s="14"/>
    </row>
    <row r="144" spans="1:27" ht="13.5" hidden="1" customHeight="1">
      <c r="A144" s="14"/>
      <c r="B144" s="63" t="s">
        <v>198</v>
      </c>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hidden="1" customHeight="1">
      <c r="A145" s="14"/>
      <c r="B145" s="63" t="s">
        <v>199</v>
      </c>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hidden="1" customHeight="1">
      <c r="A146" s="14"/>
      <c r="B146" s="63" t="s">
        <v>200</v>
      </c>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hidden="1" customHeight="1">
      <c r="A147" s="14"/>
      <c r="B147" s="63" t="s">
        <v>201</v>
      </c>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hidden="1" customHeight="1">
      <c r="A148" s="14"/>
      <c r="B148" s="63" t="s">
        <v>202</v>
      </c>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hidden="1" customHeight="1">
      <c r="A149" s="14"/>
      <c r="B149" s="63" t="s">
        <v>203</v>
      </c>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hidden="1" customHeight="1">
      <c r="A150" s="14"/>
      <c r="B150" s="14"/>
      <c r="C150" s="6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hidden="1" customHeight="1">
      <c r="A151" s="14"/>
      <c r="B151" s="14"/>
      <c r="C151" s="6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hidden="1" customHeight="1">
      <c r="A152" s="14"/>
      <c r="B152" s="61" t="s">
        <v>181</v>
      </c>
      <c r="C152" s="62"/>
      <c r="D152" s="62"/>
      <c r="E152" s="62"/>
      <c r="F152" s="62"/>
      <c r="G152" s="62"/>
      <c r="H152" s="14"/>
      <c r="I152" s="14"/>
      <c r="J152" s="14"/>
      <c r="K152" s="14"/>
      <c r="L152" s="14"/>
      <c r="M152" s="14"/>
      <c r="N152" s="14"/>
      <c r="O152" s="14"/>
      <c r="P152" s="14"/>
      <c r="Q152" s="14"/>
      <c r="R152" s="14"/>
      <c r="S152" s="14"/>
      <c r="T152" s="14"/>
      <c r="U152" s="14"/>
      <c r="V152" s="14"/>
      <c r="W152" s="14"/>
      <c r="X152" s="14"/>
      <c r="Y152" s="14"/>
      <c r="Z152" s="14"/>
      <c r="AA152" s="14"/>
    </row>
    <row r="153" spans="1:27" ht="13.5" hidden="1"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hidden="1"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hidden="1"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hidden="1"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hidden="1"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hidden="1"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hidden="1" customHeight="1">
      <c r="A159" s="14"/>
      <c r="B159" s="61" t="s">
        <v>182</v>
      </c>
      <c r="C159" s="62"/>
      <c r="D159" s="62"/>
      <c r="E159" s="62"/>
      <c r="F159" s="62"/>
      <c r="G159" s="62"/>
      <c r="H159" s="14"/>
      <c r="I159" s="14"/>
      <c r="J159" s="14"/>
      <c r="K159" s="14"/>
      <c r="L159" s="14"/>
      <c r="M159" s="14"/>
      <c r="N159" s="14"/>
      <c r="O159" s="14"/>
      <c r="P159" s="14"/>
      <c r="Q159" s="14"/>
      <c r="R159" s="14"/>
      <c r="S159" s="14"/>
      <c r="T159" s="14"/>
      <c r="U159" s="14"/>
      <c r="V159" s="14"/>
      <c r="W159" s="14"/>
      <c r="X159" s="14"/>
      <c r="Y159" s="14"/>
      <c r="Z159" s="14"/>
      <c r="AA159" s="14"/>
    </row>
    <row r="160" spans="1:27" ht="13.5" hidden="1"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hidden="1"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hidden="1" customHeight="1">
      <c r="A162" s="14"/>
      <c r="B162" s="50"/>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hidden="1"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hidden="1"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hidden="1"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hidden="1" customHeight="1">
      <c r="A166" s="14"/>
      <c r="B166" s="56" t="s">
        <v>183</v>
      </c>
      <c r="C166" s="56"/>
      <c r="D166" s="56"/>
      <c r="E166" s="56"/>
      <c r="F166" s="56"/>
      <c r="G166" s="56"/>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7">
    <mergeCell ref="B47:C47"/>
    <mergeCell ref="D48:E48"/>
    <mergeCell ref="B140:C140"/>
    <mergeCell ref="B141:C141"/>
    <mergeCell ref="D141:E141"/>
    <mergeCell ref="B48:C48"/>
    <mergeCell ref="B78:C78"/>
    <mergeCell ref="B79:C79"/>
    <mergeCell ref="D79:E79"/>
    <mergeCell ref="B109:C109"/>
    <mergeCell ref="B110:C110"/>
    <mergeCell ref="D110:E110"/>
    <mergeCell ref="B1:F1"/>
    <mergeCell ref="B16:C16"/>
    <mergeCell ref="D16:E16"/>
    <mergeCell ref="B17:C17"/>
    <mergeCell ref="D17:E17"/>
  </mergeCells>
  <conditionalFormatting sqref="C14:C15">
    <cfRule type="colorScale" priority="1">
      <colorScale>
        <cfvo type="formula" val="1"/>
        <cfvo type="formula" val="2.5"/>
        <cfvo type="formula" val="4"/>
        <color rgb="FF6DCC32"/>
        <color rgb="FFFFE600"/>
        <color rgb="FFC00000"/>
      </colorScale>
    </cfRule>
  </conditionalFormatting>
  <conditionalFormatting sqref="E14:E15">
    <cfRule type="colorScale" priority="2">
      <colorScale>
        <cfvo type="formula" val="1"/>
        <cfvo type="formula" val="2.4"/>
        <cfvo type="formula" val="4"/>
        <color rgb="FF6DCC32"/>
        <color rgb="FFFFC000"/>
        <color rgb="FFC00000"/>
      </colorScale>
    </cfRule>
  </conditionalFormatting>
  <conditionalFormatting sqref="G14:G16">
    <cfRule type="colorScale" priority="3">
      <colorScale>
        <cfvo type="formula" val="1"/>
        <cfvo type="formula" val="8.5"/>
        <cfvo type="formula" val="16"/>
        <color rgb="FF6DCC32"/>
        <color rgb="FFFFC000"/>
        <color rgb="FFC00000"/>
      </colorScale>
    </cfRule>
  </conditionalFormatting>
  <conditionalFormatting sqref="C45:C46">
    <cfRule type="colorScale" priority="4">
      <colorScale>
        <cfvo type="formula" val="1"/>
        <cfvo type="formula" val="2.5"/>
        <cfvo type="formula" val="4"/>
        <color rgb="FF6DCC32"/>
        <color rgb="FFFFE600"/>
        <color rgb="FFC00000"/>
      </colorScale>
    </cfRule>
  </conditionalFormatting>
  <conditionalFormatting sqref="E45:E47">
    <cfRule type="colorScale" priority="5">
      <colorScale>
        <cfvo type="formula" val="1"/>
        <cfvo type="formula" val="2.5"/>
        <cfvo type="formula" val="4"/>
        <color rgb="FF6DCC32"/>
        <color rgb="FFFFC000"/>
        <color rgb="FFC00000"/>
      </colorScale>
    </cfRule>
  </conditionalFormatting>
  <conditionalFormatting sqref="G45:G47">
    <cfRule type="colorScale" priority="6">
      <colorScale>
        <cfvo type="formula" val="1"/>
        <cfvo type="formula" val="8.5"/>
        <cfvo type="formula" val="16"/>
        <color rgb="FF6DCC32"/>
        <color rgb="FFFFC000"/>
        <color rgb="FFC00000"/>
      </colorScale>
    </cfRule>
  </conditionalFormatting>
  <conditionalFormatting sqref="C76:C77">
    <cfRule type="colorScale" priority="7">
      <colorScale>
        <cfvo type="formula" val="1"/>
        <cfvo type="formula" val="2.5"/>
        <cfvo type="formula" val="4"/>
        <color rgb="FF6DCC32"/>
        <color rgb="FFFFE600"/>
        <color rgb="FFC00000"/>
      </colorScale>
    </cfRule>
  </conditionalFormatting>
  <conditionalFormatting sqref="E76:E78">
    <cfRule type="colorScale" priority="8">
      <colorScale>
        <cfvo type="formula" val="1"/>
        <cfvo type="formula" val="2.5"/>
        <cfvo type="formula" val="4"/>
        <color rgb="FF6DCC32"/>
        <color rgb="FFFFC000"/>
        <color rgb="FFC00000"/>
      </colorScale>
    </cfRule>
  </conditionalFormatting>
  <conditionalFormatting sqref="G76:G78">
    <cfRule type="colorScale" priority="9">
      <colorScale>
        <cfvo type="formula" val="1"/>
        <cfvo type="formula" val="8.5"/>
        <cfvo type="formula" val="16"/>
        <color rgb="FF6DCC32"/>
        <color rgb="FFFFC000"/>
        <color rgb="FFC00000"/>
      </colorScale>
    </cfRule>
  </conditionalFormatting>
  <conditionalFormatting sqref="C107:C108">
    <cfRule type="colorScale" priority="10">
      <colorScale>
        <cfvo type="formula" val="1"/>
        <cfvo type="formula" val="2.5"/>
        <cfvo type="formula" val="4"/>
        <color rgb="FF6DCC32"/>
        <color rgb="FFFFE600"/>
        <color rgb="FFC00000"/>
      </colorScale>
    </cfRule>
  </conditionalFormatting>
  <conditionalFormatting sqref="E107:E109">
    <cfRule type="colorScale" priority="11">
      <colorScale>
        <cfvo type="formula" val="1"/>
        <cfvo type="formula" val="2.5"/>
        <cfvo type="formula" val="4"/>
        <color rgb="FF6DCC32"/>
        <color rgb="FFFFC000"/>
        <color rgb="FFC00000"/>
      </colorScale>
    </cfRule>
  </conditionalFormatting>
  <conditionalFormatting sqref="G107:G109">
    <cfRule type="colorScale" priority="12">
      <colorScale>
        <cfvo type="formula" val="1"/>
        <cfvo type="formula" val="8.5"/>
        <cfvo type="formula" val="16"/>
        <color rgb="FF6DCC32"/>
        <color rgb="FFFFC000"/>
        <color rgb="FFC00000"/>
      </colorScale>
    </cfRule>
  </conditionalFormatting>
  <conditionalFormatting sqref="C138:C139">
    <cfRule type="colorScale" priority="13">
      <colorScale>
        <cfvo type="formula" val="1"/>
        <cfvo type="formula" val="2.5"/>
        <cfvo type="formula" val="4"/>
        <color rgb="FF6DCC32"/>
        <color rgb="FFFFE600"/>
        <color rgb="FFC00000"/>
      </colorScale>
    </cfRule>
  </conditionalFormatting>
  <conditionalFormatting sqref="E138:E140">
    <cfRule type="colorScale" priority="14">
      <colorScale>
        <cfvo type="formula" val="1"/>
        <cfvo type="formula" val="2.5"/>
        <cfvo type="formula" val="4"/>
        <color rgb="FF6DCC32"/>
        <color rgb="FFFFC000"/>
        <color rgb="FFC00000"/>
      </colorScale>
    </cfRule>
  </conditionalFormatting>
  <conditionalFormatting sqref="G138:G140">
    <cfRule type="colorScale" priority="15">
      <colorScale>
        <cfvo type="formula" val="1"/>
        <cfvo type="formula" val="8.5"/>
        <cfvo type="formula" val="16"/>
        <color rgb="FF6DCC32"/>
        <color rgb="FFFFC000"/>
        <color rgb="FFC00000"/>
      </colorScale>
    </cfRule>
  </conditionalFormatting>
  <conditionalFormatting sqref="C3:C8">
    <cfRule type="colorScale" priority="16">
      <colorScale>
        <cfvo type="formula" val="1"/>
        <cfvo type="formula" val="2.5"/>
        <cfvo type="formula" val="4"/>
        <color rgb="FF6DCC32"/>
        <color rgb="FFFFE600"/>
        <color rgb="FFC00000"/>
      </colorScale>
    </cfRule>
  </conditionalFormatting>
  <conditionalFormatting sqref="D3:D8">
    <cfRule type="colorScale" priority="17">
      <colorScale>
        <cfvo type="formula" val="1"/>
        <cfvo type="formula" val="2.4"/>
        <cfvo type="formula" val="4"/>
        <color rgb="FF6DCC32"/>
        <color rgb="FFFFE600"/>
        <color rgb="FFC00000"/>
      </colorScale>
    </cfRule>
  </conditionalFormatting>
  <conditionalFormatting sqref="E3:E8">
    <cfRule type="colorScale" priority="18">
      <colorScale>
        <cfvo type="formula" val="1"/>
        <cfvo type="formula" val="8.5"/>
        <cfvo type="formula" val="16"/>
        <color rgb="FF6DCC32"/>
        <color rgb="FFFFE600"/>
        <color rgb="FFC00000"/>
      </colorScale>
    </cfRule>
  </conditionalFormatting>
  <dataValidations count="6">
    <dataValidation type="decimal" allowBlank="1" showInputMessage="1" showErrorMessage="1" prompt="Please enter a rating (1-3)" sqref="E3:E8 G14:G16 G45:G47 G76:G78 G107:G109 G138:G140" xr:uid="{00000000-0002-0000-0400-000000000000}">
      <formula1>1</formula1>
      <formula2>15</formula2>
    </dataValidation>
    <dataValidation type="list" allowBlank="1" showInputMessage="1" showErrorMessage="1" prompt="Please enter a rating (1-3)" sqref="E15 E46:E47 E77:E78 E108:E109 E139:E140" xr:uid="{00000000-0002-0000-0400-000001000000}">
      <formula1>"1,2,3"</formula1>
    </dataValidation>
    <dataValidation type="list" allowBlank="1" showInputMessage="1" showErrorMessage="1" prompt="Please enter a rating (1-5)" sqref="C15 C46 C77 C108 C139" xr:uid="{00000000-0002-0000-0400-000002000000}">
      <formula1>"1,2,3"</formula1>
    </dataValidation>
    <dataValidation type="list" allowBlank="1" showInputMessage="1" showErrorMessage="1" prompt="Please enter a rating (1-5)" sqref="C14 C45 C76 C107 C138" xr:uid="{00000000-0002-0000-0400-000003000000}">
      <formula1>"1,2,3,4"</formula1>
    </dataValidation>
    <dataValidation type="list" allowBlank="1" showInputMessage="1" showErrorMessage="1" prompt="Please enter a rating (1-3)" sqref="E14 E45 E76 E107 E138" xr:uid="{00000000-0002-0000-0400-000004000000}">
      <formula1>"1,2,3,4"</formula1>
    </dataValidation>
    <dataValidation type="list" allowBlank="1" showErrorMessage="1" sqref="C10" xr:uid="{00000000-0002-0000-0400-000005000000}">
      <formula1>$B$4:$B$8</formula1>
    </dataValidation>
  </dataValidations>
  <pageMargins left="3.937007874015748E-2" right="3.937007874015748E-2" top="0.35433070866141736" bottom="0.15748031496062992" header="0" footer="0"/>
  <pageSetup paperSize="9"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25.40625" customWidth="1"/>
    <col min="7" max="7" width="13.6796875" customWidth="1"/>
    <col min="8" max="8" width="12.26953125" customWidth="1"/>
    <col min="9" max="9" width="13.6796875" customWidth="1"/>
    <col min="10" max="27" width="8.86328125" customWidth="1"/>
  </cols>
  <sheetData>
    <row r="1" spans="1:27" ht="13.5" customHeight="1">
      <c r="A1" s="50"/>
      <c r="B1" s="91" t="s">
        <v>15</v>
      </c>
      <c r="C1" s="83"/>
      <c r="D1" s="83"/>
      <c r="E1" s="83"/>
      <c r="F1" s="84"/>
      <c r="G1" s="66"/>
      <c r="H1" s="50"/>
      <c r="I1" s="50"/>
      <c r="J1" s="50"/>
      <c r="K1" s="50"/>
      <c r="L1" s="50"/>
      <c r="M1" s="50"/>
      <c r="N1" s="50"/>
      <c r="O1" s="50"/>
      <c r="P1" s="50"/>
      <c r="Q1" s="50"/>
      <c r="R1" s="50"/>
      <c r="S1" s="50"/>
      <c r="T1" s="50"/>
      <c r="U1" s="50"/>
      <c r="V1" s="50"/>
      <c r="W1" s="50"/>
      <c r="X1" s="50"/>
      <c r="Y1" s="50"/>
      <c r="Z1" s="50"/>
      <c r="AA1" s="50"/>
    </row>
    <row r="2" spans="1:27" ht="13.5" customHeight="1">
      <c r="A2" s="14"/>
      <c r="B2" s="14"/>
      <c r="C2" s="60" t="s">
        <v>0</v>
      </c>
      <c r="D2" s="60" t="s">
        <v>1</v>
      </c>
      <c r="E2" s="60"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67">
        <f t="shared" ref="C3:D3" si="0">AVERAGE(C4:C8)</f>
        <v>2.4</v>
      </c>
      <c r="D3" s="67">
        <f t="shared" si="0"/>
        <v>2.6</v>
      </c>
      <c r="E3" s="68">
        <f>ROUND(AVERAGE(E4:E8),0)</f>
        <v>6</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tr">
        <f>Instructions!C35</f>
        <v>Sourcing and Supply Chain</v>
      </c>
      <c r="C4" s="69">
        <f>C14</f>
        <v>2</v>
      </c>
      <c r="D4" s="69">
        <f>E14</f>
        <v>4</v>
      </c>
      <c r="E4" s="28">
        <f t="shared" ref="E4:E8" si="1">C4*D4</f>
        <v>8</v>
      </c>
      <c r="F4" s="71">
        <v>1</v>
      </c>
      <c r="G4" s="14"/>
      <c r="H4" s="14"/>
      <c r="I4" s="14"/>
      <c r="J4" s="14"/>
      <c r="K4" s="14"/>
      <c r="L4" s="14"/>
      <c r="M4" s="14"/>
      <c r="N4" s="14"/>
      <c r="O4" s="14"/>
      <c r="P4" s="14"/>
      <c r="Q4" s="14"/>
      <c r="R4" s="14"/>
      <c r="S4" s="14"/>
      <c r="T4" s="14"/>
      <c r="U4" s="14"/>
      <c r="V4" s="14"/>
      <c r="W4" s="14"/>
      <c r="X4" s="14"/>
      <c r="Y4" s="14"/>
      <c r="Z4" s="14"/>
      <c r="AA4" s="14"/>
    </row>
    <row r="5" spans="1:27" ht="13.5" customHeight="1">
      <c r="A5" s="14"/>
      <c r="B5" s="14" t="str">
        <f>Instructions!D35</f>
        <v>Internal Operations and Assets</v>
      </c>
      <c r="C5" s="69">
        <f>C45</f>
        <v>3</v>
      </c>
      <c r="D5" s="69">
        <f>E45</f>
        <v>1</v>
      </c>
      <c r="E5" s="28">
        <f t="shared" si="1"/>
        <v>3</v>
      </c>
      <c r="F5" s="71">
        <v>2</v>
      </c>
      <c r="G5" s="14"/>
      <c r="H5" s="14"/>
      <c r="I5" s="14"/>
      <c r="J5" s="14"/>
      <c r="K5" s="14"/>
      <c r="L5" s="14"/>
      <c r="M5" s="14"/>
      <c r="N5" s="14"/>
      <c r="O5" s="14"/>
      <c r="P5" s="14"/>
      <c r="Q5" s="14"/>
      <c r="R5" s="14"/>
      <c r="S5" s="14"/>
      <c r="T5" s="14"/>
      <c r="U5" s="14"/>
      <c r="V5" s="14"/>
      <c r="W5" s="14"/>
      <c r="X5" s="14"/>
      <c r="Y5" s="14"/>
      <c r="Z5" s="14"/>
      <c r="AA5" s="14"/>
    </row>
    <row r="6" spans="1:27" ht="13.5" customHeight="1">
      <c r="A6" s="14"/>
      <c r="B6" s="14" t="str">
        <f>Instructions!E35</f>
        <v>Distribution and Logistics</v>
      </c>
      <c r="C6" s="69">
        <f>C76</f>
        <v>1</v>
      </c>
      <c r="D6" s="69">
        <f>E76</f>
        <v>2</v>
      </c>
      <c r="E6" s="28">
        <f t="shared" si="1"/>
        <v>2</v>
      </c>
      <c r="F6" s="71">
        <v>3</v>
      </c>
      <c r="G6" s="14"/>
      <c r="H6" s="14"/>
      <c r="I6" s="14"/>
      <c r="J6" s="14"/>
      <c r="K6" s="14"/>
      <c r="L6" s="14"/>
      <c r="M6" s="14"/>
      <c r="N6" s="14"/>
      <c r="O6" s="14"/>
      <c r="P6" s="14"/>
      <c r="Q6" s="14"/>
      <c r="R6" s="14"/>
      <c r="S6" s="14"/>
      <c r="T6" s="14"/>
      <c r="U6" s="14"/>
      <c r="V6" s="14"/>
      <c r="W6" s="14"/>
      <c r="X6" s="14"/>
      <c r="Y6" s="14"/>
      <c r="Z6" s="14"/>
      <c r="AA6" s="14"/>
    </row>
    <row r="7" spans="1:27" ht="13.5" customHeight="1">
      <c r="A7" s="14"/>
      <c r="B7" s="14" t="str">
        <f>Instructions!F35</f>
        <v>Operations Strategy</v>
      </c>
      <c r="C7" s="69">
        <f>C107</f>
        <v>3</v>
      </c>
      <c r="D7" s="69">
        <f>E107</f>
        <v>3</v>
      </c>
      <c r="E7" s="28">
        <f t="shared" si="1"/>
        <v>9</v>
      </c>
      <c r="F7" s="71">
        <v>4</v>
      </c>
      <c r="G7" s="14"/>
      <c r="H7" s="14"/>
      <c r="I7" s="14"/>
      <c r="J7" s="14"/>
      <c r="K7" s="14"/>
      <c r="L7" s="14"/>
      <c r="M7" s="14"/>
      <c r="N7" s="14"/>
      <c r="O7" s="14"/>
      <c r="P7" s="14"/>
      <c r="Q7" s="14"/>
      <c r="R7" s="14"/>
      <c r="S7" s="14"/>
      <c r="T7" s="14"/>
      <c r="U7" s="14"/>
      <c r="V7" s="14"/>
      <c r="W7" s="14"/>
      <c r="X7" s="14"/>
      <c r="Y7" s="14"/>
      <c r="Z7" s="14"/>
      <c r="AA7" s="14"/>
    </row>
    <row r="8" spans="1:27" ht="13.5" customHeight="1">
      <c r="A8" s="14"/>
      <c r="B8" s="14" t="str">
        <f>Instructions!G35</f>
        <v>Operational Excellence and Continuous Improvement</v>
      </c>
      <c r="C8" s="69">
        <f>C138</f>
        <v>3</v>
      </c>
      <c r="D8" s="69">
        <f>E138</f>
        <v>3</v>
      </c>
      <c r="E8" s="28">
        <f t="shared" si="1"/>
        <v>9</v>
      </c>
      <c r="F8" s="71">
        <v>5</v>
      </c>
      <c r="G8" s="14"/>
      <c r="H8" s="14"/>
      <c r="I8" s="14"/>
      <c r="J8" s="14"/>
      <c r="K8" s="14"/>
      <c r="L8" s="14"/>
      <c r="M8" s="14"/>
      <c r="N8" s="14"/>
      <c r="O8" s="14"/>
      <c r="P8" s="14"/>
      <c r="Q8" s="14"/>
      <c r="R8" s="14"/>
      <c r="S8" s="14"/>
      <c r="T8" s="14"/>
      <c r="U8" s="14"/>
      <c r="V8" s="14"/>
      <c r="W8" s="14"/>
      <c r="X8" s="14"/>
      <c r="Y8" s="14"/>
      <c r="Z8" s="14"/>
      <c r="AA8" s="14"/>
    </row>
    <row r="9" spans="1:27" ht="13.5"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71">
        <f>VLOOKUP(C10,B4:F8,5,FALSE)</f>
        <v>2</v>
      </c>
      <c r="B10" s="50" t="s">
        <v>171</v>
      </c>
      <c r="C10" s="53" t="s">
        <v>80</v>
      </c>
      <c r="D10" s="70" t="s">
        <v>172</v>
      </c>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row>
    <row r="12" spans="1:27" ht="13.5" hidden="1" customHeight="1">
      <c r="A12" s="14"/>
      <c r="B12" s="55" t="str">
        <f>B4</f>
        <v>Sourcing and Supply Chain</v>
      </c>
      <c r="C12" s="56"/>
      <c r="D12" s="56"/>
      <c r="E12" s="56"/>
      <c r="F12" s="56"/>
      <c r="G12" s="56"/>
      <c r="H12" s="14"/>
      <c r="I12" s="14"/>
      <c r="J12" s="14"/>
      <c r="K12" s="14"/>
      <c r="L12" s="14"/>
      <c r="M12" s="14"/>
      <c r="N12" s="14"/>
      <c r="O12" s="14"/>
      <c r="P12" s="14"/>
      <c r="Q12" s="14"/>
      <c r="R12" s="14"/>
      <c r="S12" s="14"/>
      <c r="T12" s="14"/>
      <c r="U12" s="14"/>
      <c r="V12" s="14"/>
      <c r="W12" s="14"/>
      <c r="X12" s="14"/>
      <c r="Y12" s="14"/>
      <c r="Z12" s="14"/>
      <c r="AA12" s="14"/>
    </row>
    <row r="13" spans="1:27" ht="13.5" hidden="1"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row>
    <row r="14" spans="1:27" ht="13.5" hidden="1" customHeight="1">
      <c r="A14" s="14"/>
      <c r="B14" s="57" t="s">
        <v>0</v>
      </c>
      <c r="C14" s="58">
        <v>2</v>
      </c>
      <c r="D14" s="59" t="s">
        <v>1</v>
      </c>
      <c r="E14" s="58">
        <v>4</v>
      </c>
      <c r="F14" s="57" t="s">
        <v>2</v>
      </c>
      <c r="G14" s="58">
        <f>C14*E14</f>
        <v>8</v>
      </c>
      <c r="H14" s="14"/>
      <c r="I14" s="14"/>
      <c r="J14" s="14"/>
      <c r="K14" s="14"/>
      <c r="L14" s="14"/>
      <c r="M14" s="14"/>
      <c r="N14" s="14"/>
      <c r="O14" s="14"/>
      <c r="P14" s="14"/>
      <c r="Q14" s="14"/>
      <c r="R14" s="14"/>
      <c r="S14" s="14"/>
      <c r="T14" s="14"/>
      <c r="U14" s="14"/>
      <c r="V14" s="14"/>
      <c r="W14" s="14"/>
      <c r="X14" s="14"/>
      <c r="Y14" s="14"/>
      <c r="Z14" s="14"/>
      <c r="AA14" s="14"/>
    </row>
    <row r="15" spans="1:27" ht="13.5" hidden="1" customHeight="1">
      <c r="A15" s="14"/>
      <c r="B15" s="14"/>
      <c r="C15" s="14"/>
      <c r="D15" s="60"/>
      <c r="E15" s="14"/>
      <c r="F15" s="14"/>
      <c r="G15" s="14"/>
      <c r="H15" s="14"/>
      <c r="I15" s="14"/>
      <c r="J15" s="14"/>
      <c r="K15" s="14"/>
      <c r="L15" s="14"/>
      <c r="M15" s="14"/>
      <c r="N15" s="14"/>
      <c r="O15" s="14"/>
      <c r="P15" s="14"/>
      <c r="Q15" s="14"/>
      <c r="R15" s="14"/>
      <c r="S15" s="14"/>
      <c r="T15" s="14"/>
      <c r="U15" s="14"/>
      <c r="V15" s="14"/>
      <c r="W15" s="14"/>
      <c r="X15" s="14"/>
      <c r="Y15" s="14"/>
      <c r="Z15" s="14"/>
      <c r="AA15" s="14"/>
    </row>
    <row r="16" spans="1:27" ht="13.5" hidden="1" customHeight="1">
      <c r="A16" s="14"/>
      <c r="B16" s="89" t="s">
        <v>0</v>
      </c>
      <c r="C16" s="84"/>
      <c r="D16" s="92" t="s">
        <v>1</v>
      </c>
      <c r="E16" s="93"/>
      <c r="F16" s="14"/>
      <c r="G16" s="14"/>
      <c r="H16" s="14"/>
      <c r="I16" s="14"/>
      <c r="J16" s="14"/>
      <c r="K16" s="14"/>
      <c r="L16" s="14"/>
      <c r="M16" s="14"/>
      <c r="N16" s="14"/>
      <c r="O16" s="14"/>
      <c r="P16" s="14"/>
      <c r="Q16" s="14"/>
      <c r="R16" s="14"/>
      <c r="S16" s="14"/>
      <c r="T16" s="14"/>
      <c r="U16" s="14"/>
      <c r="V16" s="14"/>
      <c r="W16" s="14"/>
      <c r="X16" s="14"/>
      <c r="Y16" s="14"/>
      <c r="Z16" s="14"/>
      <c r="AA16" s="14"/>
    </row>
    <row r="17" spans="1:27" ht="155.25" hidden="1" customHeight="1">
      <c r="A17" s="14"/>
      <c r="B17" s="94" t="str">
        <f>VLOOKUP(C14,Instructions!B36:G39,1+MATCH(B12,Instructions!C35:G35,FALSE))</f>
        <v>▪ The enterprise has a diversified set of suppliers to the firm which lessons the business's risk.
▪ An understanding of the suppliers' business position is understood which aids the firm in de-risking its supply chain.
▪ The enterprise has been able to work favorable payment terms to suppliers which lessons the working capital need for the firm.
▪ The enterprise has efficient logistics in place to support transport from suppliers to operations of the firm</v>
      </c>
      <c r="C17" s="95"/>
      <c r="D17" s="96" t="str">
        <f>VLOOKUP(E14,Instructions!B8:C11,2,FALSE)</f>
        <v>▪ This aspect of the business is critical to the success of the business</v>
      </c>
      <c r="E17" s="97"/>
      <c r="F17" s="14"/>
      <c r="G17" s="14"/>
      <c r="H17" s="14"/>
      <c r="I17" s="14"/>
      <c r="J17" s="14"/>
      <c r="K17" s="14"/>
      <c r="L17" s="14"/>
      <c r="M17" s="14"/>
      <c r="N17" s="14"/>
      <c r="O17" s="14"/>
      <c r="P17" s="14"/>
      <c r="Q17" s="14"/>
      <c r="R17" s="14"/>
      <c r="S17" s="14"/>
      <c r="T17" s="14"/>
      <c r="U17" s="14"/>
      <c r="V17" s="14"/>
      <c r="W17" s="14"/>
      <c r="X17" s="14"/>
      <c r="Y17" s="14"/>
      <c r="Z17" s="14"/>
      <c r="AA17" s="14"/>
    </row>
    <row r="18" spans="1:27" ht="13.5" hidden="1"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row>
    <row r="19" spans="1:27" ht="13.5" hidden="1" customHeight="1">
      <c r="A19" s="14"/>
      <c r="B19" s="61" t="s">
        <v>173</v>
      </c>
      <c r="C19" s="62"/>
      <c r="D19" s="62"/>
      <c r="E19" s="62"/>
      <c r="F19" s="62"/>
      <c r="G19" s="62"/>
      <c r="H19" s="14"/>
      <c r="I19" s="14"/>
      <c r="J19" s="14"/>
      <c r="K19" s="14"/>
      <c r="L19" s="14"/>
      <c r="M19" s="14"/>
      <c r="N19" s="14"/>
      <c r="O19" s="14"/>
      <c r="P19" s="14"/>
      <c r="Q19" s="14"/>
      <c r="R19" s="14"/>
      <c r="S19" s="14"/>
      <c r="T19" s="14"/>
      <c r="U19" s="14"/>
      <c r="V19" s="14"/>
      <c r="W19" s="14"/>
      <c r="X19" s="14"/>
      <c r="Y19" s="14"/>
      <c r="Z19" s="14"/>
      <c r="AA19" s="14"/>
    </row>
    <row r="20" spans="1:27" ht="13.5" hidden="1" customHeight="1">
      <c r="A20" s="14"/>
      <c r="B20" s="37" t="s">
        <v>204</v>
      </c>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hidden="1" customHeight="1">
      <c r="A21" s="14"/>
      <c r="B21" s="37" t="s">
        <v>205</v>
      </c>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hidden="1" customHeight="1">
      <c r="A22" s="14"/>
      <c r="B22" s="37" t="s">
        <v>206</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hidden="1" customHeight="1">
      <c r="A23" s="14"/>
      <c r="B23" s="37" t="s">
        <v>207</v>
      </c>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hidden="1" customHeight="1">
      <c r="A24" s="14"/>
      <c r="B24" s="63"/>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hidden="1" customHeight="1">
      <c r="A25" s="14"/>
      <c r="B25" s="63"/>
      <c r="C25" s="1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hidden="1"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hidden="1" customHeight="1">
      <c r="A27" s="14"/>
      <c r="B27" s="14"/>
      <c r="C27" s="64"/>
      <c r="D27" s="14"/>
      <c r="E27" s="14"/>
      <c r="F27" s="14"/>
      <c r="G27" s="14"/>
      <c r="H27" s="14"/>
      <c r="I27" s="14"/>
      <c r="J27" s="14"/>
      <c r="K27" s="14"/>
      <c r="L27" s="14"/>
      <c r="M27" s="14"/>
      <c r="N27" s="14"/>
      <c r="O27" s="14"/>
      <c r="P27" s="14"/>
      <c r="Q27" s="14"/>
      <c r="R27" s="14"/>
      <c r="S27" s="14"/>
      <c r="T27" s="14"/>
      <c r="U27" s="14"/>
      <c r="V27" s="14"/>
      <c r="W27" s="14"/>
      <c r="X27" s="14"/>
      <c r="Y27" s="14"/>
      <c r="Z27" s="14"/>
      <c r="AA27" s="14"/>
    </row>
    <row r="28" spans="1:27" ht="13.5" hidden="1" customHeight="1">
      <c r="A28" s="14"/>
      <c r="B28" s="61" t="s">
        <v>181</v>
      </c>
      <c r="C28" s="62"/>
      <c r="D28" s="62"/>
      <c r="E28" s="62"/>
      <c r="F28" s="62"/>
      <c r="G28" s="62"/>
      <c r="H28" s="14"/>
      <c r="I28" s="14"/>
      <c r="J28" s="14"/>
      <c r="K28" s="14"/>
      <c r="L28" s="14"/>
      <c r="M28" s="14"/>
      <c r="N28" s="14"/>
      <c r="O28" s="14"/>
      <c r="P28" s="14"/>
      <c r="Q28" s="14"/>
      <c r="R28" s="14"/>
      <c r="S28" s="14"/>
      <c r="T28" s="14"/>
      <c r="U28" s="14"/>
      <c r="V28" s="14"/>
      <c r="W28" s="14"/>
      <c r="X28" s="14"/>
      <c r="Y28" s="14"/>
      <c r="Z28" s="14"/>
      <c r="AA28" s="14"/>
    </row>
    <row r="29" spans="1:27" ht="13.5" hidden="1"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hidden="1"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hidden="1"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hidden="1"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hidden="1"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hidden="1"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spans="1:27" ht="13.5" hidden="1" customHeight="1">
      <c r="A35" s="14"/>
      <c r="B35" s="61" t="s">
        <v>182</v>
      </c>
      <c r="C35" s="62"/>
      <c r="D35" s="62"/>
      <c r="E35" s="62"/>
      <c r="F35" s="62"/>
      <c r="G35" s="62"/>
      <c r="H35" s="14"/>
      <c r="I35" s="14"/>
      <c r="J35" s="14"/>
      <c r="K35" s="14"/>
      <c r="L35" s="14"/>
      <c r="M35" s="14"/>
      <c r="N35" s="14"/>
      <c r="O35" s="14"/>
      <c r="P35" s="14"/>
      <c r="Q35" s="14"/>
      <c r="R35" s="14"/>
      <c r="S35" s="14"/>
      <c r="T35" s="14"/>
      <c r="U35" s="14"/>
      <c r="V35" s="14"/>
      <c r="W35" s="14"/>
      <c r="X35" s="14"/>
      <c r="Y35" s="14"/>
      <c r="Z35" s="14"/>
      <c r="AA35" s="14"/>
    </row>
    <row r="36" spans="1:27" ht="13.5" hidden="1"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hidden="1"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hidden="1" customHeight="1">
      <c r="A38" s="14"/>
      <c r="B38" s="50"/>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hidden="1"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hidden="1"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hidden="1" customHeight="1">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row>
    <row r="42" spans="1:27" ht="13.5" hidden="1" customHeight="1">
      <c r="A42" s="14"/>
      <c r="B42" s="56" t="s">
        <v>183</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customHeight="1">
      <c r="A43" s="14"/>
      <c r="B43" s="55" t="str">
        <f>B5</f>
        <v>Internal Operations and Assets</v>
      </c>
      <c r="C43" s="56"/>
      <c r="D43" s="56"/>
      <c r="E43" s="56"/>
      <c r="F43" s="56"/>
      <c r="G43" s="56"/>
      <c r="H43" s="14"/>
      <c r="I43" s="14"/>
      <c r="J43" s="14"/>
      <c r="K43" s="14"/>
      <c r="L43" s="14"/>
      <c r="M43" s="14"/>
      <c r="N43" s="14"/>
      <c r="O43" s="14"/>
      <c r="P43" s="14"/>
      <c r="Q43" s="14"/>
      <c r="R43" s="14"/>
      <c r="S43" s="14"/>
      <c r="T43" s="14"/>
      <c r="U43" s="14"/>
      <c r="V43" s="14"/>
      <c r="W43" s="14"/>
      <c r="X43" s="14"/>
      <c r="Y43" s="14"/>
      <c r="Z43" s="14"/>
      <c r="AA43" s="14"/>
    </row>
    <row r="44" spans="1:27" ht="13.5" customHeight="1">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row>
    <row r="45" spans="1:27" ht="13.5" customHeight="1">
      <c r="A45" s="14"/>
      <c r="B45" s="57" t="s">
        <v>0</v>
      </c>
      <c r="C45" s="58">
        <v>3</v>
      </c>
      <c r="D45" s="59" t="s">
        <v>1</v>
      </c>
      <c r="E45" s="58">
        <v>1</v>
      </c>
      <c r="F45" s="57" t="s">
        <v>2</v>
      </c>
      <c r="G45" s="58">
        <f>C45*E45</f>
        <v>3</v>
      </c>
      <c r="H45" s="14"/>
      <c r="I45" s="14"/>
      <c r="J45" s="14"/>
      <c r="K45" s="14"/>
      <c r="L45" s="14"/>
      <c r="M45" s="14"/>
      <c r="N45" s="14"/>
      <c r="O45" s="14"/>
      <c r="P45" s="14"/>
      <c r="Q45" s="14"/>
      <c r="R45" s="14"/>
      <c r="S45" s="14"/>
      <c r="T45" s="14"/>
      <c r="U45" s="14"/>
      <c r="V45" s="14"/>
      <c r="W45" s="14"/>
      <c r="X45" s="14"/>
      <c r="Y45" s="14"/>
      <c r="Z45" s="14"/>
      <c r="AA45" s="14"/>
    </row>
    <row r="46" spans="1:27" ht="13.5" customHeight="1">
      <c r="A46" s="14"/>
      <c r="B46" s="14"/>
      <c r="C46" s="1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13.5" customHeight="1">
      <c r="A47" s="14"/>
      <c r="B47" s="89" t="s">
        <v>0</v>
      </c>
      <c r="C47" s="84"/>
      <c r="D47" s="60"/>
      <c r="E47" s="14"/>
      <c r="F47" s="14"/>
      <c r="G47" s="14"/>
      <c r="H47" s="14"/>
      <c r="I47" s="14"/>
      <c r="J47" s="14"/>
      <c r="K47" s="14"/>
      <c r="L47" s="14"/>
      <c r="M47" s="14"/>
      <c r="N47" s="14"/>
      <c r="O47" s="14"/>
      <c r="P47" s="14"/>
      <c r="Q47" s="14"/>
      <c r="R47" s="14"/>
      <c r="S47" s="14"/>
      <c r="T47" s="14"/>
      <c r="U47" s="14"/>
      <c r="V47" s="14"/>
      <c r="W47" s="14"/>
      <c r="X47" s="14"/>
      <c r="Y47" s="14"/>
      <c r="Z47" s="14"/>
      <c r="AA47" s="14"/>
    </row>
    <row r="48" spans="1:27" ht="99" customHeight="1">
      <c r="A48" s="14"/>
      <c r="B48" s="88" t="str">
        <f>VLOOKUP(C45,Instructions!B36:G39,1+MATCH(B43,Instructions!C35:G35,FALSE))</f>
        <v>▪ The enterprise's facilities are adequat enough to satisfy the internal operation strategy the firm wants to achieve.
▪  The enterprise has production systems in place to monitor the overal quality and amount of products produced.</v>
      </c>
      <c r="C48" s="84"/>
      <c r="D48" s="90" t="str">
        <f>VLOOKUP(E45,Instructions!B8:C11,2,FALSE)</f>
        <v>▪ At this stage of the company this aspect of the business is not needed.</v>
      </c>
      <c r="E48" s="84"/>
      <c r="F48" s="14"/>
      <c r="G48" s="14"/>
      <c r="H48" s="14"/>
      <c r="I48" s="14"/>
      <c r="J48" s="14"/>
      <c r="K48" s="14"/>
      <c r="L48" s="14"/>
      <c r="M48" s="14"/>
      <c r="N48" s="14"/>
      <c r="O48" s="14"/>
      <c r="P48" s="14"/>
      <c r="Q48" s="14"/>
      <c r="R48" s="14"/>
      <c r="S48" s="14"/>
      <c r="T48" s="14"/>
      <c r="U48" s="14"/>
      <c r="V48" s="14"/>
      <c r="W48" s="14"/>
      <c r="X48" s="14"/>
      <c r="Y48" s="14"/>
      <c r="Z48" s="14"/>
      <c r="AA48" s="14"/>
    </row>
    <row r="49" spans="1:27" ht="13.5"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row>
    <row r="50" spans="1:27" ht="13.5" customHeight="1">
      <c r="A50" s="14"/>
      <c r="B50" s="61" t="s">
        <v>173</v>
      </c>
      <c r="C50" s="62"/>
      <c r="D50" s="62"/>
      <c r="E50" s="62"/>
      <c r="F50" s="62"/>
      <c r="G50" s="62"/>
      <c r="H50" s="14"/>
      <c r="I50" s="14"/>
      <c r="J50" s="14"/>
      <c r="K50" s="14"/>
      <c r="L50" s="14"/>
      <c r="M50" s="14"/>
      <c r="N50" s="14"/>
      <c r="O50" s="14"/>
      <c r="P50" s="14"/>
      <c r="Q50" s="14"/>
      <c r="R50" s="14"/>
      <c r="S50" s="14"/>
      <c r="T50" s="14"/>
      <c r="U50" s="14"/>
      <c r="V50" s="14"/>
      <c r="W50" s="14"/>
      <c r="X50" s="14"/>
      <c r="Y50" s="14"/>
      <c r="Z50" s="14"/>
      <c r="AA50" s="14"/>
    </row>
    <row r="51" spans="1:27" ht="13.5" customHeight="1">
      <c r="A51" s="14"/>
      <c r="B51" s="63" t="s">
        <v>208</v>
      </c>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customHeight="1">
      <c r="A52" s="14"/>
      <c r="B52" s="63" t="s">
        <v>209</v>
      </c>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customHeight="1">
      <c r="A53" s="14"/>
      <c r="B53" s="72" t="s">
        <v>210</v>
      </c>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customHeight="1">
      <c r="A54" s="14"/>
      <c r="B54" s="45" t="s">
        <v>211</v>
      </c>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customHeight="1">
      <c r="A55" s="14"/>
      <c r="B55" s="37" t="s">
        <v>212</v>
      </c>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customHeight="1">
      <c r="A56" s="14"/>
      <c r="B56" s="72"/>
      <c r="C56" s="1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customHeight="1">
      <c r="A58" s="14"/>
      <c r="B58" s="14"/>
      <c r="C58" s="64"/>
      <c r="D58" s="14"/>
      <c r="E58" s="14"/>
      <c r="F58" s="14"/>
      <c r="G58" s="14"/>
      <c r="H58" s="14"/>
      <c r="I58" s="14"/>
      <c r="J58" s="14"/>
      <c r="K58" s="14"/>
      <c r="L58" s="14"/>
      <c r="M58" s="14"/>
      <c r="N58" s="14"/>
      <c r="O58" s="14"/>
      <c r="P58" s="14"/>
      <c r="Q58" s="14"/>
      <c r="R58" s="14"/>
      <c r="S58" s="14"/>
      <c r="T58" s="14"/>
      <c r="U58" s="14"/>
      <c r="V58" s="14"/>
      <c r="W58" s="14"/>
      <c r="X58" s="14"/>
      <c r="Y58" s="14"/>
      <c r="Z58" s="14"/>
      <c r="AA58" s="14"/>
    </row>
    <row r="59" spans="1:27" ht="13.5" customHeight="1">
      <c r="A59" s="14"/>
      <c r="B59" s="61" t="s">
        <v>181</v>
      </c>
      <c r="C59" s="62"/>
      <c r="D59" s="62"/>
      <c r="E59" s="62"/>
      <c r="F59" s="62"/>
      <c r="G59" s="62"/>
      <c r="H59" s="14"/>
      <c r="I59" s="14"/>
      <c r="J59" s="14"/>
      <c r="K59" s="14"/>
      <c r="L59" s="14"/>
      <c r="M59" s="14"/>
      <c r="N59" s="14"/>
      <c r="O59" s="14"/>
      <c r="P59" s="14"/>
      <c r="Q59" s="14"/>
      <c r="R59" s="14"/>
      <c r="S59" s="14"/>
      <c r="T59" s="14"/>
      <c r="U59" s="14"/>
      <c r="V59" s="14"/>
      <c r="W59" s="14"/>
      <c r="X59" s="14"/>
      <c r="Y59" s="14"/>
      <c r="Z59" s="14"/>
      <c r="AA59" s="14"/>
    </row>
    <row r="60" spans="1:27" ht="13.5"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spans="1:27" ht="13.5" customHeight="1">
      <c r="A66" s="14"/>
      <c r="B66" s="61" t="s">
        <v>182</v>
      </c>
      <c r="C66" s="62"/>
      <c r="D66" s="62"/>
      <c r="E66" s="62"/>
      <c r="F66" s="62"/>
      <c r="G66" s="62"/>
      <c r="H66" s="14"/>
      <c r="I66" s="14"/>
      <c r="J66" s="14"/>
      <c r="K66" s="14"/>
      <c r="L66" s="14"/>
      <c r="M66" s="14"/>
      <c r="N66" s="14"/>
      <c r="O66" s="14"/>
      <c r="P66" s="14"/>
      <c r="Q66" s="14"/>
      <c r="R66" s="14"/>
      <c r="S66" s="14"/>
      <c r="T66" s="14"/>
      <c r="U66" s="14"/>
      <c r="V66" s="14"/>
      <c r="W66" s="14"/>
      <c r="X66" s="14"/>
      <c r="Y66" s="14"/>
      <c r="Z66" s="14"/>
      <c r="AA66" s="14"/>
    </row>
    <row r="67" spans="1:27" ht="13.5"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customHeight="1">
      <c r="A69" s="14"/>
      <c r="B69" s="50"/>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spans="1:27" ht="13.5" customHeight="1">
      <c r="A73" s="14"/>
      <c r="B73" s="56" t="s">
        <v>183</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55" t="str">
        <f>B6</f>
        <v>Distribution and Logistics</v>
      </c>
      <c r="C74" s="56"/>
      <c r="D74" s="56"/>
      <c r="E74" s="56"/>
      <c r="F74" s="56"/>
      <c r="G74" s="56"/>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57" t="s">
        <v>0</v>
      </c>
      <c r="C76" s="58">
        <v>1</v>
      </c>
      <c r="D76" s="59" t="s">
        <v>1</v>
      </c>
      <c r="E76" s="58">
        <v>2</v>
      </c>
      <c r="F76" s="57" t="s">
        <v>2</v>
      </c>
      <c r="G76" s="58">
        <f>C76*E76</f>
        <v>2</v>
      </c>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14"/>
      <c r="C77" s="1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13.5" hidden="1" customHeight="1">
      <c r="A78" s="14"/>
      <c r="B78" s="89" t="s">
        <v>0</v>
      </c>
      <c r="C78" s="84"/>
      <c r="D78" s="60"/>
      <c r="E78" s="14"/>
      <c r="F78" s="14"/>
      <c r="G78" s="14"/>
      <c r="H78" s="14"/>
      <c r="I78" s="14"/>
      <c r="J78" s="14"/>
      <c r="K78" s="14"/>
      <c r="L78" s="14"/>
      <c r="M78" s="14"/>
      <c r="N78" s="14"/>
      <c r="O78" s="14"/>
      <c r="P78" s="14"/>
      <c r="Q78" s="14"/>
      <c r="R78" s="14"/>
      <c r="S78" s="14"/>
      <c r="T78" s="14"/>
      <c r="U78" s="14"/>
      <c r="V78" s="14"/>
      <c r="W78" s="14"/>
      <c r="X78" s="14"/>
      <c r="Y78" s="14"/>
      <c r="Z78" s="14"/>
      <c r="AA78" s="14"/>
    </row>
    <row r="79" spans="1:27" ht="131.25" hidden="1" customHeight="1">
      <c r="A79" s="14"/>
      <c r="B79" s="88" t="str">
        <f>VLOOKUP(C76,Instructions!B36:G39,1+MATCH(B74,Instructions!C35:G35,FALSE))</f>
        <v>▪ The abililty of the enteprise to create efficiencies within the outbound and distribution creates a competitive advantage for the firm.
▪ The distribution strategy plays a fundamental role in the overall strategy and business performance of the firm.</v>
      </c>
      <c r="C79" s="84"/>
      <c r="D79" s="90" t="str">
        <f>VLOOKUP(E76,Instructions!B8:C11,2,FALSE)</f>
        <v>▪ This aspect of the business is not critical to the success of the business</v>
      </c>
      <c r="E79" s="8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1" t="s">
        <v>173</v>
      </c>
      <c r="C81" s="62"/>
      <c r="D81" s="62"/>
      <c r="E81" s="62"/>
      <c r="F81" s="62"/>
      <c r="G81" s="62"/>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73" t="s">
        <v>213</v>
      </c>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63"/>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14"/>
      <c r="C89" s="64"/>
      <c r="D89" s="14"/>
      <c r="E89" s="14"/>
      <c r="F89" s="14"/>
      <c r="G89" s="14"/>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61" t="s">
        <v>181</v>
      </c>
      <c r="C90" s="62"/>
      <c r="D90" s="62"/>
      <c r="E90" s="62"/>
      <c r="F90" s="62"/>
      <c r="G90" s="62"/>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61" t="s">
        <v>182</v>
      </c>
      <c r="C97" s="62"/>
      <c r="D97" s="62"/>
      <c r="E97" s="62"/>
      <c r="F97" s="62"/>
      <c r="G97" s="62"/>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50"/>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6" t="s">
        <v>183</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hidden="1" customHeight="1">
      <c r="A105" s="14"/>
      <c r="B105" s="55" t="str">
        <f>B7</f>
        <v>Operations Strategy</v>
      </c>
      <c r="C105" s="56"/>
      <c r="D105" s="56"/>
      <c r="E105" s="56"/>
      <c r="F105" s="56"/>
      <c r="G105" s="56"/>
      <c r="H105" s="14"/>
      <c r="I105" s="14"/>
      <c r="J105" s="14"/>
      <c r="K105" s="14"/>
      <c r="L105" s="14"/>
      <c r="M105" s="14"/>
      <c r="N105" s="14"/>
      <c r="O105" s="14"/>
      <c r="P105" s="14"/>
      <c r="Q105" s="14"/>
      <c r="R105" s="14"/>
      <c r="S105" s="14"/>
      <c r="T105" s="14"/>
      <c r="U105" s="14"/>
      <c r="V105" s="14"/>
      <c r="W105" s="14"/>
      <c r="X105" s="14"/>
      <c r="Y105" s="14"/>
      <c r="Z105" s="14"/>
      <c r="AA105" s="14"/>
    </row>
    <row r="106" spans="1:27" ht="13.5" hidden="1"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spans="1:27" ht="13.5" hidden="1" customHeight="1">
      <c r="A107" s="14"/>
      <c r="B107" s="57" t="s">
        <v>0</v>
      </c>
      <c r="C107" s="58">
        <v>3</v>
      </c>
      <c r="D107" s="59" t="s">
        <v>1</v>
      </c>
      <c r="E107" s="58">
        <v>3</v>
      </c>
      <c r="F107" s="57" t="s">
        <v>2</v>
      </c>
      <c r="G107" s="58">
        <f>C107*E107</f>
        <v>9</v>
      </c>
      <c r="H107" s="14"/>
      <c r="I107" s="14"/>
      <c r="J107" s="14"/>
      <c r="K107" s="14"/>
      <c r="L107" s="14"/>
      <c r="M107" s="14"/>
      <c r="N107" s="14"/>
      <c r="O107" s="14"/>
      <c r="P107" s="14"/>
      <c r="Q107" s="14"/>
      <c r="R107" s="14"/>
      <c r="S107" s="14"/>
      <c r="T107" s="14"/>
      <c r="U107" s="14"/>
      <c r="V107" s="14"/>
      <c r="W107" s="14"/>
      <c r="X107" s="14"/>
      <c r="Y107" s="14"/>
      <c r="Z107" s="14"/>
      <c r="AA107" s="14"/>
    </row>
    <row r="108" spans="1:27" ht="13.5" hidden="1" customHeight="1">
      <c r="A108" s="14"/>
      <c r="B108" s="14"/>
      <c r="C108" s="14"/>
      <c r="D108" s="60"/>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spans="1:27" ht="13.5" hidden="1" customHeight="1">
      <c r="A109" s="14"/>
      <c r="B109" s="89" t="s">
        <v>0</v>
      </c>
      <c r="C109" s="84"/>
      <c r="D109" s="60"/>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99" hidden="1" customHeight="1">
      <c r="A110" s="14"/>
      <c r="B110" s="88" t="str">
        <f>VLOOKUP(C107,Instructions!B36:G39,1+MATCH(B105,Instructions!C35:G35,FALSE))</f>
        <v>▪ There is an obsessive culture of creating customer value' however, the company's overheah dimishes shareholder value.
▪ Operational strategy is driven locally or within silos.
▪ Functional metrics are frequently seens as a driver of success.</v>
      </c>
      <c r="C110" s="84"/>
      <c r="D110" s="90" t="str">
        <f>VLOOKUP(E107,Instructions!B8:C11,2,FALSE)</f>
        <v>▪ This aspect of the business is of neutral importance to the success of the business</v>
      </c>
      <c r="E110" s="8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hidden="1"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spans="1:27" ht="13.5" hidden="1" customHeight="1">
      <c r="A112" s="14"/>
      <c r="B112" s="61" t="s">
        <v>173</v>
      </c>
      <c r="C112" s="62"/>
      <c r="D112" s="62"/>
      <c r="E112" s="62"/>
      <c r="F112" s="62"/>
      <c r="G112" s="62"/>
      <c r="H112" s="14"/>
      <c r="I112" s="14"/>
      <c r="J112" s="14"/>
      <c r="K112" s="14"/>
      <c r="L112" s="14"/>
      <c r="M112" s="14"/>
      <c r="N112" s="14"/>
      <c r="O112" s="14"/>
      <c r="P112" s="14"/>
      <c r="Q112" s="14"/>
      <c r="R112" s="14"/>
      <c r="S112" s="14"/>
      <c r="T112" s="14"/>
      <c r="U112" s="14"/>
      <c r="V112" s="14"/>
      <c r="W112" s="14"/>
      <c r="X112" s="14"/>
      <c r="Y112" s="14"/>
      <c r="Z112" s="14"/>
      <c r="AA112" s="14"/>
    </row>
    <row r="113" spans="1:27" ht="13.5" hidden="1" customHeight="1">
      <c r="A113" s="14"/>
      <c r="B113" s="63" t="s">
        <v>214</v>
      </c>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hidden="1" customHeight="1">
      <c r="A114" s="14"/>
      <c r="B114" s="63" t="s">
        <v>215</v>
      </c>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hidden="1" customHeight="1">
      <c r="A115" s="14"/>
      <c r="B115" s="6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hidden="1" customHeight="1">
      <c r="A116" s="14"/>
      <c r="B116" s="63"/>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hidden="1" customHeight="1">
      <c r="A117" s="14"/>
      <c r="B117" s="63"/>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hidden="1" customHeight="1">
      <c r="A118" s="14"/>
      <c r="B118" s="63"/>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hidden="1"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hidden="1" customHeight="1">
      <c r="A120" s="14"/>
      <c r="B120" s="14"/>
      <c r="C120" s="6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spans="1:27" ht="13.5" hidden="1" customHeight="1">
      <c r="A121" s="14"/>
      <c r="B121" s="61" t="s">
        <v>181</v>
      </c>
      <c r="C121" s="62"/>
      <c r="D121" s="62"/>
      <c r="E121" s="62"/>
      <c r="F121" s="62"/>
      <c r="G121" s="62"/>
      <c r="H121" s="14"/>
      <c r="I121" s="14"/>
      <c r="J121" s="14"/>
      <c r="K121" s="14"/>
      <c r="L121" s="14"/>
      <c r="M121" s="14"/>
      <c r="N121" s="14"/>
      <c r="O121" s="14"/>
      <c r="P121" s="14"/>
      <c r="Q121" s="14"/>
      <c r="R121" s="14"/>
      <c r="S121" s="14"/>
      <c r="T121" s="14"/>
      <c r="U121" s="14"/>
      <c r="V121" s="14"/>
      <c r="W121" s="14"/>
      <c r="X121" s="14"/>
      <c r="Y121" s="14"/>
      <c r="Z121" s="14"/>
      <c r="AA121" s="14"/>
    </row>
    <row r="122" spans="1:27" ht="13.5" hidden="1"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hidden="1"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hidden="1"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hidden="1"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hidden="1"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hidden="1"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spans="1:27" ht="13.5" hidden="1" customHeight="1">
      <c r="A128" s="14"/>
      <c r="B128" s="61" t="s">
        <v>182</v>
      </c>
      <c r="C128" s="62"/>
      <c r="D128" s="62"/>
      <c r="E128" s="62"/>
      <c r="F128" s="62"/>
      <c r="G128" s="62"/>
      <c r="H128" s="14"/>
      <c r="I128" s="14"/>
      <c r="J128" s="14"/>
      <c r="K128" s="14"/>
      <c r="L128" s="14"/>
      <c r="M128" s="14"/>
      <c r="N128" s="14"/>
      <c r="O128" s="14"/>
      <c r="P128" s="14"/>
      <c r="Q128" s="14"/>
      <c r="R128" s="14"/>
      <c r="S128" s="14"/>
      <c r="T128" s="14"/>
      <c r="U128" s="14"/>
      <c r="V128" s="14"/>
      <c r="W128" s="14"/>
      <c r="X128" s="14"/>
      <c r="Y128" s="14"/>
      <c r="Z128" s="14"/>
      <c r="AA128" s="14"/>
    </row>
    <row r="129" spans="1:27" ht="13.5" hidden="1"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hidden="1"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hidden="1" customHeight="1">
      <c r="A131" s="14"/>
      <c r="B131" s="50"/>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hidden="1"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hidden="1"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hidden="1"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spans="1:27" ht="13.5" hidden="1" customHeight="1">
      <c r="A135" s="14"/>
      <c r="B135" s="56" t="s">
        <v>183</v>
      </c>
      <c r="C135" s="56"/>
      <c r="D135" s="56"/>
      <c r="E135" s="56"/>
      <c r="F135" s="56"/>
      <c r="G135" s="56"/>
      <c r="H135" s="14"/>
      <c r="I135" s="14"/>
      <c r="J135" s="14"/>
      <c r="K135" s="14"/>
      <c r="L135" s="14"/>
      <c r="M135" s="14"/>
      <c r="N135" s="14"/>
      <c r="O135" s="14"/>
      <c r="P135" s="14"/>
      <c r="Q135" s="14"/>
      <c r="R135" s="14"/>
      <c r="S135" s="14"/>
      <c r="T135" s="14"/>
      <c r="U135" s="14"/>
      <c r="V135" s="14"/>
      <c r="W135" s="14"/>
      <c r="X135" s="14"/>
      <c r="Y135" s="14"/>
      <c r="Z135" s="14"/>
      <c r="AA135" s="14"/>
    </row>
    <row r="136" spans="1:27" ht="13.5" hidden="1" customHeight="1">
      <c r="A136" s="14"/>
      <c r="B136" s="55" t="str">
        <f>B8</f>
        <v>Operational Excellence and Continuous Improvement</v>
      </c>
      <c r="C136" s="56"/>
      <c r="D136" s="56"/>
      <c r="E136" s="56"/>
      <c r="F136" s="56"/>
      <c r="G136" s="56"/>
      <c r="H136" s="14"/>
      <c r="I136" s="14"/>
      <c r="J136" s="14"/>
      <c r="K136" s="14"/>
      <c r="L136" s="14"/>
      <c r="M136" s="14"/>
      <c r="N136" s="14"/>
      <c r="O136" s="14"/>
      <c r="P136" s="14"/>
      <c r="Q136" s="14"/>
      <c r="R136" s="14"/>
      <c r="S136" s="14"/>
      <c r="T136" s="14"/>
      <c r="U136" s="14"/>
      <c r="V136" s="14"/>
      <c r="W136" s="14"/>
      <c r="X136" s="14"/>
      <c r="Y136" s="14"/>
      <c r="Z136" s="14"/>
      <c r="AA136" s="14"/>
    </row>
    <row r="137" spans="1:27" ht="13.5" hidden="1"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hidden="1" customHeight="1">
      <c r="A138" s="14"/>
      <c r="B138" s="57" t="s">
        <v>0</v>
      </c>
      <c r="C138" s="58">
        <v>3</v>
      </c>
      <c r="D138" s="59" t="s">
        <v>1</v>
      </c>
      <c r="E138" s="58">
        <v>3</v>
      </c>
      <c r="F138" s="57" t="s">
        <v>2</v>
      </c>
      <c r="G138" s="58">
        <f>C138*E138</f>
        <v>9</v>
      </c>
      <c r="H138" s="14"/>
      <c r="I138" s="14"/>
      <c r="J138" s="14"/>
      <c r="K138" s="14"/>
      <c r="L138" s="14"/>
      <c r="M138" s="14"/>
      <c r="N138" s="14"/>
      <c r="O138" s="14"/>
      <c r="P138" s="14"/>
      <c r="Q138" s="14"/>
      <c r="R138" s="14"/>
      <c r="S138" s="14"/>
      <c r="T138" s="14"/>
      <c r="U138" s="14"/>
      <c r="V138" s="14"/>
      <c r="W138" s="14"/>
      <c r="X138" s="14"/>
      <c r="Y138" s="14"/>
      <c r="Z138" s="14"/>
      <c r="AA138" s="14"/>
    </row>
    <row r="139" spans="1:27" ht="13.5" hidden="1" customHeight="1">
      <c r="A139" s="14"/>
      <c r="B139" s="14"/>
      <c r="C139" s="14"/>
      <c r="D139" s="60"/>
      <c r="E139" s="14"/>
      <c r="F139" s="14"/>
      <c r="G139" s="14"/>
      <c r="H139" s="14"/>
      <c r="I139" s="14"/>
      <c r="J139" s="14"/>
      <c r="K139" s="14"/>
      <c r="L139" s="14"/>
      <c r="M139" s="14"/>
      <c r="N139" s="14"/>
      <c r="O139" s="14"/>
      <c r="P139" s="14"/>
      <c r="Q139" s="14"/>
      <c r="R139" s="14"/>
      <c r="S139" s="14"/>
      <c r="T139" s="14"/>
      <c r="U139" s="14"/>
      <c r="V139" s="14"/>
      <c r="W139" s="14"/>
      <c r="X139" s="14"/>
      <c r="Y139" s="14"/>
      <c r="Z139" s="14"/>
      <c r="AA139" s="14"/>
    </row>
    <row r="140" spans="1:27" ht="13.5" hidden="1" customHeight="1">
      <c r="A140" s="14"/>
      <c r="B140" s="89" t="s">
        <v>0</v>
      </c>
      <c r="C140" s="84"/>
      <c r="D140" s="60"/>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99" hidden="1" customHeight="1">
      <c r="A141" s="14"/>
      <c r="B141" s="88" t="str">
        <f>VLOOKUP(C138,Instructions!B36:G39,1+MATCH(B136,Instructions!C35:G35,FALSE))</f>
        <v>▪ There is a focus on operational excellence within silos.
▪ There is a developing culture of continuous improvement.</v>
      </c>
      <c r="C141" s="84"/>
      <c r="D141" s="90" t="str">
        <f>VLOOKUP(E138,Instructions!B8:C11,2,FALSE)</f>
        <v>▪ This aspect of the business is of neutral importance to the success of the business</v>
      </c>
      <c r="E141" s="8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hidden="1" customHeight="1">
      <c r="A143" s="14"/>
      <c r="B143" s="61" t="s">
        <v>173</v>
      </c>
      <c r="C143" s="62"/>
      <c r="D143" s="62"/>
      <c r="E143" s="62"/>
      <c r="F143" s="62"/>
      <c r="G143" s="62"/>
      <c r="H143" s="14"/>
      <c r="I143" s="14"/>
      <c r="J143" s="14"/>
      <c r="K143" s="14"/>
      <c r="L143" s="14"/>
      <c r="M143" s="14"/>
      <c r="N143" s="14"/>
      <c r="O143" s="14"/>
      <c r="P143" s="14"/>
      <c r="Q143" s="14"/>
      <c r="R143" s="14"/>
      <c r="S143" s="14"/>
      <c r="T143" s="14"/>
      <c r="U143" s="14"/>
      <c r="V143" s="14"/>
      <c r="W143" s="14"/>
      <c r="X143" s="14"/>
      <c r="Y143" s="14"/>
      <c r="Z143" s="14"/>
      <c r="AA143" s="14"/>
    </row>
    <row r="144" spans="1:27" ht="13.5" hidden="1" customHeight="1">
      <c r="A144" s="14"/>
      <c r="B144" s="63" t="s">
        <v>216</v>
      </c>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hidden="1" customHeight="1">
      <c r="A145" s="14"/>
      <c r="B145" s="63" t="s">
        <v>217</v>
      </c>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hidden="1" customHeight="1">
      <c r="A146" s="14"/>
      <c r="B146" s="63" t="s">
        <v>218</v>
      </c>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hidden="1" customHeight="1">
      <c r="A147" s="14"/>
      <c r="B147" s="63"/>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hidden="1" customHeight="1">
      <c r="A148" s="14"/>
      <c r="B148" s="63"/>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hidden="1" customHeight="1">
      <c r="A149" s="14"/>
      <c r="B149" s="63"/>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hidden="1" customHeight="1">
      <c r="A150" s="14"/>
      <c r="B150" s="14"/>
      <c r="C150" s="6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hidden="1" customHeight="1">
      <c r="A151" s="14"/>
      <c r="B151" s="14"/>
      <c r="C151" s="6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hidden="1" customHeight="1">
      <c r="A152" s="14"/>
      <c r="B152" s="61" t="s">
        <v>181</v>
      </c>
      <c r="C152" s="62"/>
      <c r="D152" s="62"/>
      <c r="E152" s="62"/>
      <c r="F152" s="62"/>
      <c r="G152" s="62"/>
      <c r="H152" s="14"/>
      <c r="I152" s="14"/>
      <c r="J152" s="14"/>
      <c r="K152" s="14"/>
      <c r="L152" s="14"/>
      <c r="M152" s="14"/>
      <c r="N152" s="14"/>
      <c r="O152" s="14"/>
      <c r="P152" s="14"/>
      <c r="Q152" s="14"/>
      <c r="R152" s="14"/>
      <c r="S152" s="14"/>
      <c r="T152" s="14"/>
      <c r="U152" s="14"/>
      <c r="V152" s="14"/>
      <c r="W152" s="14"/>
      <c r="X152" s="14"/>
      <c r="Y152" s="14"/>
      <c r="Z152" s="14"/>
      <c r="AA152" s="14"/>
    </row>
    <row r="153" spans="1:27" ht="13.5" hidden="1"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hidden="1"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hidden="1"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hidden="1"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hidden="1"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hidden="1"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hidden="1" customHeight="1">
      <c r="A159" s="14"/>
      <c r="B159" s="61" t="s">
        <v>182</v>
      </c>
      <c r="C159" s="62"/>
      <c r="D159" s="62"/>
      <c r="E159" s="62"/>
      <c r="F159" s="62"/>
      <c r="G159" s="62"/>
      <c r="H159" s="14"/>
      <c r="I159" s="14"/>
      <c r="J159" s="14"/>
      <c r="K159" s="14"/>
      <c r="L159" s="14"/>
      <c r="M159" s="14"/>
      <c r="N159" s="14"/>
      <c r="O159" s="14"/>
      <c r="P159" s="14"/>
      <c r="Q159" s="14"/>
      <c r="R159" s="14"/>
      <c r="S159" s="14"/>
      <c r="T159" s="14"/>
      <c r="U159" s="14"/>
      <c r="V159" s="14"/>
      <c r="W159" s="14"/>
      <c r="X159" s="14"/>
      <c r="Y159" s="14"/>
      <c r="Z159" s="14"/>
      <c r="AA159" s="14"/>
    </row>
    <row r="160" spans="1:27" ht="13.5" hidden="1"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hidden="1"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hidden="1" customHeight="1">
      <c r="A162" s="14"/>
      <c r="B162" s="50"/>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hidden="1"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hidden="1"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hidden="1"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hidden="1" customHeight="1">
      <c r="A166" s="14"/>
      <c r="B166" s="56" t="s">
        <v>183</v>
      </c>
      <c r="C166" s="56"/>
      <c r="D166" s="56"/>
      <c r="E166" s="56"/>
      <c r="F166" s="56"/>
      <c r="G166" s="56"/>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7">
    <mergeCell ref="B47:C47"/>
    <mergeCell ref="D48:E48"/>
    <mergeCell ref="B140:C140"/>
    <mergeCell ref="B141:C141"/>
    <mergeCell ref="D141:E141"/>
    <mergeCell ref="B48:C48"/>
    <mergeCell ref="B78:C78"/>
    <mergeCell ref="B79:C79"/>
    <mergeCell ref="D79:E79"/>
    <mergeCell ref="B109:C109"/>
    <mergeCell ref="B110:C110"/>
    <mergeCell ref="D110:E110"/>
    <mergeCell ref="B1:F1"/>
    <mergeCell ref="B16:C16"/>
    <mergeCell ref="D16:E16"/>
    <mergeCell ref="B17:C17"/>
    <mergeCell ref="D17:E17"/>
  </mergeCells>
  <conditionalFormatting sqref="C14:C15">
    <cfRule type="colorScale" priority="1">
      <colorScale>
        <cfvo type="formula" val="1"/>
        <cfvo type="formula" val="2.5"/>
        <cfvo type="formula" val="4"/>
        <color rgb="FF6DCC32"/>
        <color rgb="FFFFE600"/>
        <color rgb="FFC00000"/>
      </colorScale>
    </cfRule>
  </conditionalFormatting>
  <conditionalFormatting sqref="E14:E15">
    <cfRule type="colorScale" priority="2">
      <colorScale>
        <cfvo type="formula" val="1"/>
        <cfvo type="formula" val="2.5"/>
        <cfvo type="formula" val="4"/>
        <color rgb="FF6DCC32"/>
        <color rgb="FFFFC000"/>
        <color rgb="FFC00000"/>
      </colorScale>
    </cfRule>
  </conditionalFormatting>
  <conditionalFormatting sqref="G14:G16">
    <cfRule type="colorScale" priority="3">
      <colorScale>
        <cfvo type="formula" val="1"/>
        <cfvo type="formula" val="8.5"/>
        <cfvo type="formula" val="16"/>
        <color rgb="FF6DCC32"/>
        <color rgb="FFFFC000"/>
        <color rgb="FFC00000"/>
      </colorScale>
    </cfRule>
  </conditionalFormatting>
  <conditionalFormatting sqref="C45:C46">
    <cfRule type="colorScale" priority="4">
      <colorScale>
        <cfvo type="formula" val="1"/>
        <cfvo type="formula" val="2.5"/>
        <cfvo type="formula" val="4"/>
        <color rgb="FF6DCC32"/>
        <color rgb="FFFFE600"/>
        <color rgb="FFC00000"/>
      </colorScale>
    </cfRule>
  </conditionalFormatting>
  <conditionalFormatting sqref="E45:E47">
    <cfRule type="colorScale" priority="5">
      <colorScale>
        <cfvo type="formula" val="1"/>
        <cfvo type="formula" val="2.5"/>
        <cfvo type="formula" val="4"/>
        <color rgb="FF6DCC32"/>
        <color rgb="FFFFC000"/>
        <color rgb="FFC00000"/>
      </colorScale>
    </cfRule>
  </conditionalFormatting>
  <conditionalFormatting sqref="G45:G47">
    <cfRule type="colorScale" priority="6">
      <colorScale>
        <cfvo type="formula" val="1"/>
        <cfvo type="formula" val="8.5"/>
        <cfvo type="formula" val="16"/>
        <color rgb="FF6DCC32"/>
        <color rgb="FFFFC000"/>
        <color rgb="FFC00000"/>
      </colorScale>
    </cfRule>
  </conditionalFormatting>
  <conditionalFormatting sqref="C76:C77">
    <cfRule type="colorScale" priority="7">
      <colorScale>
        <cfvo type="formula" val="1"/>
        <cfvo type="formula" val="2.5"/>
        <cfvo type="formula" val="4"/>
        <color rgb="FF6DCC32"/>
        <color rgb="FFFFE600"/>
        <color rgb="FFC00000"/>
      </colorScale>
    </cfRule>
  </conditionalFormatting>
  <conditionalFormatting sqref="E76:E78">
    <cfRule type="colorScale" priority="8">
      <colorScale>
        <cfvo type="formula" val="1"/>
        <cfvo type="formula" val="2.5"/>
        <cfvo type="formula" val="4"/>
        <color rgb="FF6DCC32"/>
        <color rgb="FFFFC000"/>
        <color rgb="FFC00000"/>
      </colorScale>
    </cfRule>
  </conditionalFormatting>
  <conditionalFormatting sqref="G76:G78">
    <cfRule type="colorScale" priority="9">
      <colorScale>
        <cfvo type="formula" val="1"/>
        <cfvo type="formula" val="8.5"/>
        <cfvo type="formula" val="16"/>
        <color rgb="FF6DCC32"/>
        <color rgb="FFFFC000"/>
        <color rgb="FFC00000"/>
      </colorScale>
    </cfRule>
  </conditionalFormatting>
  <conditionalFormatting sqref="C107:C108">
    <cfRule type="colorScale" priority="10">
      <colorScale>
        <cfvo type="formula" val="1"/>
        <cfvo type="formula" val="2.5"/>
        <cfvo type="formula" val="4"/>
        <color rgb="FF6DCC32"/>
        <color rgb="FFFFE600"/>
        <color rgb="FFC00000"/>
      </colorScale>
    </cfRule>
  </conditionalFormatting>
  <conditionalFormatting sqref="E107:E109">
    <cfRule type="colorScale" priority="11">
      <colorScale>
        <cfvo type="formula" val="1"/>
        <cfvo type="formula" val="2.5"/>
        <cfvo type="formula" val="4"/>
        <color rgb="FF6DCC32"/>
        <color rgb="FFFFC000"/>
        <color rgb="FFC00000"/>
      </colorScale>
    </cfRule>
  </conditionalFormatting>
  <conditionalFormatting sqref="G107:G109">
    <cfRule type="colorScale" priority="12">
      <colorScale>
        <cfvo type="formula" val="1"/>
        <cfvo type="formula" val="8.5"/>
        <cfvo type="formula" val="16"/>
        <color rgb="FF6DCC32"/>
        <color rgb="FFFFC000"/>
        <color rgb="FFC00000"/>
      </colorScale>
    </cfRule>
  </conditionalFormatting>
  <conditionalFormatting sqref="C138:C139">
    <cfRule type="colorScale" priority="13">
      <colorScale>
        <cfvo type="formula" val="1"/>
        <cfvo type="formula" val="2.5"/>
        <cfvo type="formula" val="4"/>
        <color rgb="FF6DCC32"/>
        <color rgb="FFFFE600"/>
        <color rgb="FFC00000"/>
      </colorScale>
    </cfRule>
  </conditionalFormatting>
  <conditionalFormatting sqref="E138:E140">
    <cfRule type="colorScale" priority="14">
      <colorScale>
        <cfvo type="formula" val="1"/>
        <cfvo type="formula" val="2.5"/>
        <cfvo type="formula" val="4"/>
        <color rgb="FF6DCC32"/>
        <color rgb="FFFFC000"/>
        <color rgb="FFC00000"/>
      </colorScale>
    </cfRule>
  </conditionalFormatting>
  <conditionalFormatting sqref="G138:G140">
    <cfRule type="colorScale" priority="15">
      <colorScale>
        <cfvo type="formula" val="1"/>
        <cfvo type="formula" val="8.5"/>
        <cfvo type="formula" val="16"/>
        <color rgb="FF6DCC32"/>
        <color rgb="FFFFC000"/>
        <color rgb="FFC00000"/>
      </colorScale>
    </cfRule>
  </conditionalFormatting>
  <conditionalFormatting sqref="C3:C8">
    <cfRule type="colorScale" priority="16">
      <colorScale>
        <cfvo type="formula" val="1"/>
        <cfvo type="formula" val="2.5"/>
        <cfvo type="formula" val="4"/>
        <color rgb="FF6DCC32"/>
        <color rgb="FFFFE600"/>
        <color rgb="FFC00000"/>
      </colorScale>
    </cfRule>
  </conditionalFormatting>
  <conditionalFormatting sqref="D3:D8">
    <cfRule type="colorScale" priority="17">
      <colorScale>
        <cfvo type="formula" val="1"/>
        <cfvo type="formula" val="2.5"/>
        <cfvo type="formula" val="4"/>
        <color rgb="FF6DCC32"/>
        <color rgb="FFFFE600"/>
        <color rgb="FFC00000"/>
      </colorScale>
    </cfRule>
  </conditionalFormatting>
  <conditionalFormatting sqref="E3:E8">
    <cfRule type="colorScale" priority="18">
      <colorScale>
        <cfvo type="formula" val="1"/>
        <cfvo type="formula" val="8.5"/>
        <cfvo type="formula" val="16"/>
        <color rgb="FF6DCC32"/>
        <color rgb="FFFFE600"/>
        <color rgb="FFC00000"/>
      </colorScale>
    </cfRule>
  </conditionalFormatting>
  <dataValidations count="6">
    <dataValidation type="decimal" allowBlank="1" showInputMessage="1" showErrorMessage="1" prompt="Please enter a rating (1-3)" sqref="E3:E8 G14:G16 G45:G47 G76:G78 G107:G109 G138:G140" xr:uid="{00000000-0002-0000-0500-000000000000}">
      <formula1>1</formula1>
      <formula2>15</formula2>
    </dataValidation>
    <dataValidation type="list" allowBlank="1" showInputMessage="1" showErrorMessage="1" prompt="Please enter a rating (1-3)" sqref="E15 E46:E47 E77:E78 E108:E109 E139:E140" xr:uid="{00000000-0002-0000-0500-000001000000}">
      <formula1>"1,2,3"</formula1>
    </dataValidation>
    <dataValidation type="list" allowBlank="1" showInputMessage="1" showErrorMessage="1" prompt="Please enter a rating (1-5)" sqref="C15 C46 C77 C108 C139" xr:uid="{00000000-0002-0000-0500-000002000000}">
      <formula1>"1,2,3"</formula1>
    </dataValidation>
    <dataValidation type="list" allowBlank="1" showInputMessage="1" showErrorMessage="1" prompt="Please enter a rating (1-5)" sqref="C14 C45 C76 C107 C138" xr:uid="{00000000-0002-0000-0500-000003000000}">
      <formula1>"1,2,3,4"</formula1>
    </dataValidation>
    <dataValidation type="list" allowBlank="1" showInputMessage="1" showErrorMessage="1" prompt="Please enter a rating (1-3)" sqref="E14 E45 E76 E107 E138" xr:uid="{00000000-0002-0000-0500-000004000000}">
      <formula1>"1,2,3,4"</formula1>
    </dataValidation>
    <dataValidation type="list" allowBlank="1" showErrorMessage="1" sqref="C10" xr:uid="{00000000-0002-0000-0500-000005000000}">
      <formula1>$B$4:$B$8</formula1>
    </dataValidation>
  </dataValidations>
  <pageMargins left="0.7" right="0.7" top="0.75" bottom="0.75" header="0" footer="0"/>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25.40625" customWidth="1"/>
    <col min="7" max="7" width="13.6796875" customWidth="1"/>
    <col min="8" max="8" width="12.26953125" customWidth="1"/>
    <col min="9" max="9" width="13.6796875" customWidth="1"/>
    <col min="10" max="27" width="8.86328125" customWidth="1"/>
  </cols>
  <sheetData>
    <row r="1" spans="1:27" ht="13.5" customHeight="1">
      <c r="A1" s="50"/>
      <c r="B1" s="91" t="s">
        <v>16</v>
      </c>
      <c r="C1" s="83"/>
      <c r="D1" s="83"/>
      <c r="E1" s="83"/>
      <c r="F1" s="84"/>
      <c r="G1" s="66"/>
      <c r="H1" s="50"/>
      <c r="I1" s="50"/>
      <c r="J1" s="50"/>
      <c r="K1" s="50"/>
      <c r="L1" s="50"/>
      <c r="M1" s="50"/>
      <c r="N1" s="50"/>
      <c r="O1" s="50"/>
      <c r="P1" s="50"/>
      <c r="Q1" s="50"/>
      <c r="R1" s="50"/>
      <c r="S1" s="50"/>
      <c r="T1" s="50"/>
      <c r="U1" s="50"/>
      <c r="V1" s="50"/>
      <c r="W1" s="50"/>
      <c r="X1" s="50"/>
      <c r="Y1" s="50"/>
      <c r="Z1" s="50"/>
      <c r="AA1" s="50"/>
    </row>
    <row r="2" spans="1:27" ht="13.5" customHeight="1">
      <c r="A2" s="14"/>
      <c r="B2" s="14"/>
      <c r="C2" s="60" t="s">
        <v>0</v>
      </c>
      <c r="D2" s="60" t="s">
        <v>1</v>
      </c>
      <c r="E2" s="60"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67">
        <f t="shared" ref="C3:D3" si="0">AVERAGE(C4:C8)</f>
        <v>2.6</v>
      </c>
      <c r="D3" s="67">
        <f t="shared" si="0"/>
        <v>3</v>
      </c>
      <c r="E3" s="68">
        <f>ROUND(AVERAGE(E4:E8),0)</f>
        <v>8</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
        <v>17</v>
      </c>
      <c r="C4" s="69">
        <f>C14</f>
        <v>4</v>
      </c>
      <c r="D4" s="69">
        <f>E14</f>
        <v>4</v>
      </c>
      <c r="E4" s="28">
        <f t="shared" ref="E4:E8" si="1">C4*D4</f>
        <v>16</v>
      </c>
      <c r="F4" s="71">
        <v>1</v>
      </c>
      <c r="G4" s="14"/>
      <c r="H4" s="14"/>
      <c r="I4" s="14"/>
      <c r="J4" s="14"/>
      <c r="K4" s="14"/>
      <c r="L4" s="14"/>
      <c r="M4" s="14"/>
      <c r="N4" s="14"/>
      <c r="O4" s="14"/>
      <c r="P4" s="14"/>
      <c r="Q4" s="14"/>
      <c r="R4" s="14"/>
      <c r="S4" s="14"/>
      <c r="T4" s="14"/>
      <c r="U4" s="14"/>
      <c r="V4" s="14"/>
      <c r="W4" s="14"/>
      <c r="X4" s="14"/>
      <c r="Y4" s="14"/>
      <c r="Z4" s="14"/>
      <c r="AA4" s="14"/>
    </row>
    <row r="5" spans="1:27" ht="13.5" customHeight="1">
      <c r="A5" s="14"/>
      <c r="B5" s="14" t="s">
        <v>18</v>
      </c>
      <c r="C5" s="69">
        <f>C45</f>
        <v>2</v>
      </c>
      <c r="D5" s="69">
        <f>E45</f>
        <v>3</v>
      </c>
      <c r="E5" s="28">
        <f t="shared" si="1"/>
        <v>6</v>
      </c>
      <c r="F5" s="71">
        <v>2</v>
      </c>
      <c r="G5" s="14"/>
      <c r="H5" s="14"/>
      <c r="I5" s="14"/>
      <c r="J5" s="14"/>
      <c r="K5" s="14"/>
      <c r="L5" s="14"/>
      <c r="M5" s="14"/>
      <c r="N5" s="14"/>
      <c r="O5" s="14"/>
      <c r="P5" s="14"/>
      <c r="Q5" s="14"/>
      <c r="R5" s="14"/>
      <c r="S5" s="14"/>
      <c r="T5" s="14"/>
      <c r="U5" s="14"/>
      <c r="V5" s="14"/>
      <c r="W5" s="14"/>
      <c r="X5" s="14"/>
      <c r="Y5" s="14"/>
      <c r="Z5" s="14"/>
      <c r="AA5" s="14"/>
    </row>
    <row r="6" spans="1:27" ht="13.5" customHeight="1">
      <c r="A6" s="14"/>
      <c r="B6" s="14" t="s">
        <v>19</v>
      </c>
      <c r="C6" s="69">
        <f>C76</f>
        <v>1</v>
      </c>
      <c r="D6" s="69">
        <f>E76</f>
        <v>2</v>
      </c>
      <c r="E6" s="28">
        <f t="shared" si="1"/>
        <v>2</v>
      </c>
      <c r="F6" s="71">
        <v>3</v>
      </c>
      <c r="G6" s="14"/>
      <c r="H6" s="14"/>
      <c r="I6" s="14"/>
      <c r="J6" s="14"/>
      <c r="K6" s="14"/>
      <c r="L6" s="14"/>
      <c r="M6" s="14"/>
      <c r="N6" s="14"/>
      <c r="O6" s="14"/>
      <c r="P6" s="14"/>
      <c r="Q6" s="14"/>
      <c r="R6" s="14"/>
      <c r="S6" s="14"/>
      <c r="T6" s="14"/>
      <c r="U6" s="14"/>
      <c r="V6" s="14"/>
      <c r="W6" s="14"/>
      <c r="X6" s="14"/>
      <c r="Y6" s="14"/>
      <c r="Z6" s="14"/>
      <c r="AA6" s="14"/>
    </row>
    <row r="7" spans="1:27" ht="13.5" customHeight="1">
      <c r="A7" s="14"/>
      <c r="B7" s="14" t="s">
        <v>20</v>
      </c>
      <c r="C7" s="69">
        <f>C107</f>
        <v>3</v>
      </c>
      <c r="D7" s="69">
        <f>E107</f>
        <v>3</v>
      </c>
      <c r="E7" s="28">
        <f t="shared" si="1"/>
        <v>9</v>
      </c>
      <c r="F7" s="71">
        <v>4</v>
      </c>
      <c r="G7" s="14"/>
      <c r="H7" s="14"/>
      <c r="I7" s="14"/>
      <c r="J7" s="14"/>
      <c r="K7" s="14"/>
      <c r="L7" s="14"/>
      <c r="M7" s="14"/>
      <c r="N7" s="14"/>
      <c r="O7" s="14"/>
      <c r="P7" s="14"/>
      <c r="Q7" s="14"/>
      <c r="R7" s="14"/>
      <c r="S7" s="14"/>
      <c r="T7" s="14"/>
      <c r="U7" s="14"/>
      <c r="V7" s="14"/>
      <c r="W7" s="14"/>
      <c r="X7" s="14"/>
      <c r="Y7" s="14"/>
      <c r="Z7" s="14"/>
      <c r="AA7" s="14"/>
    </row>
    <row r="8" spans="1:27" ht="13.5" customHeight="1">
      <c r="A8" s="14"/>
      <c r="B8" s="14" t="s">
        <v>21</v>
      </c>
      <c r="C8" s="69">
        <f>C138</f>
        <v>3</v>
      </c>
      <c r="D8" s="69">
        <f>E138</f>
        <v>3</v>
      </c>
      <c r="E8" s="28">
        <f t="shared" si="1"/>
        <v>9</v>
      </c>
      <c r="F8" s="71">
        <v>5</v>
      </c>
      <c r="G8" s="14"/>
      <c r="H8" s="14"/>
      <c r="I8" s="14"/>
      <c r="J8" s="14"/>
      <c r="K8" s="14"/>
      <c r="L8" s="14"/>
      <c r="M8" s="14"/>
      <c r="N8" s="14"/>
      <c r="O8" s="14"/>
      <c r="P8" s="14"/>
      <c r="Q8" s="14"/>
      <c r="R8" s="14"/>
      <c r="S8" s="14"/>
      <c r="T8" s="14"/>
      <c r="U8" s="14"/>
      <c r="V8" s="14"/>
      <c r="W8" s="14"/>
      <c r="X8" s="14"/>
      <c r="Y8" s="14"/>
      <c r="Z8" s="14"/>
      <c r="AA8" s="14"/>
    </row>
    <row r="9" spans="1:27" ht="13.5"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71">
        <f>VLOOKUP(C10,B4:F8,5,FALSE)</f>
        <v>1</v>
      </c>
      <c r="B10" s="50" t="s">
        <v>171</v>
      </c>
      <c r="C10" s="53" t="s">
        <v>17</v>
      </c>
      <c r="D10" s="70" t="s">
        <v>172</v>
      </c>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row>
    <row r="12" spans="1:27" ht="13.5" customHeight="1">
      <c r="A12" s="14"/>
      <c r="B12" s="55" t="str">
        <f>B4</f>
        <v>Finance Process and Control</v>
      </c>
      <c r="C12" s="56"/>
      <c r="D12" s="56"/>
      <c r="E12" s="56"/>
      <c r="F12" s="56"/>
      <c r="G12" s="56"/>
      <c r="H12" s="14"/>
      <c r="I12" s="14"/>
      <c r="J12" s="14"/>
      <c r="K12" s="14"/>
      <c r="L12" s="14"/>
      <c r="M12" s="14"/>
      <c r="N12" s="14"/>
      <c r="O12" s="14"/>
      <c r="P12" s="14"/>
      <c r="Q12" s="14"/>
      <c r="R12" s="14"/>
      <c r="S12" s="14"/>
      <c r="T12" s="14"/>
      <c r="U12" s="14"/>
      <c r="V12" s="14"/>
      <c r="W12" s="14"/>
      <c r="X12" s="14"/>
      <c r="Y12" s="14"/>
      <c r="Z12" s="14"/>
      <c r="AA12" s="14"/>
    </row>
    <row r="13" spans="1:27" ht="13.5"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row>
    <row r="14" spans="1:27" ht="13.5" customHeight="1">
      <c r="A14" s="14"/>
      <c r="B14" s="57" t="s">
        <v>0</v>
      </c>
      <c r="C14" s="58">
        <v>4</v>
      </c>
      <c r="D14" s="59" t="s">
        <v>1</v>
      </c>
      <c r="E14" s="58">
        <v>4</v>
      </c>
      <c r="F14" s="57" t="s">
        <v>2</v>
      </c>
      <c r="G14" s="58">
        <f>C14*E14</f>
        <v>16</v>
      </c>
      <c r="H14" s="14"/>
      <c r="I14" s="14"/>
      <c r="J14" s="14"/>
      <c r="K14" s="14"/>
      <c r="L14" s="14"/>
      <c r="M14" s="14"/>
      <c r="N14" s="14"/>
      <c r="O14" s="14"/>
      <c r="P14" s="14"/>
      <c r="Q14" s="14"/>
      <c r="R14" s="14"/>
      <c r="S14" s="14"/>
      <c r="T14" s="14"/>
      <c r="U14" s="14"/>
      <c r="V14" s="14"/>
      <c r="W14" s="14"/>
      <c r="X14" s="14"/>
      <c r="Y14" s="14"/>
      <c r="Z14" s="14"/>
      <c r="AA14" s="14"/>
    </row>
    <row r="15" spans="1:27" ht="13.5" customHeight="1">
      <c r="A15" s="14"/>
      <c r="B15" s="14"/>
      <c r="C15" s="14"/>
      <c r="D15" s="60"/>
      <c r="E15" s="14"/>
      <c r="F15" s="14"/>
      <c r="G15" s="14"/>
      <c r="H15" s="14"/>
      <c r="I15" s="14"/>
      <c r="J15" s="14"/>
      <c r="K15" s="14"/>
      <c r="L15" s="14"/>
      <c r="M15" s="14"/>
      <c r="N15" s="14"/>
      <c r="O15" s="14"/>
      <c r="P15" s="14"/>
      <c r="Q15" s="14"/>
      <c r="R15" s="14"/>
      <c r="S15" s="14"/>
      <c r="T15" s="14"/>
      <c r="U15" s="14"/>
      <c r="V15" s="14"/>
      <c r="W15" s="14"/>
      <c r="X15" s="14"/>
      <c r="Y15" s="14"/>
      <c r="Z15" s="14"/>
      <c r="AA15" s="14"/>
    </row>
    <row r="16" spans="1:27" ht="13.5" customHeight="1">
      <c r="A16" s="14"/>
      <c r="B16" s="89" t="s">
        <v>0</v>
      </c>
      <c r="C16" s="84"/>
      <c r="D16" s="92" t="s">
        <v>1</v>
      </c>
      <c r="E16" s="93"/>
      <c r="F16" s="14"/>
      <c r="G16" s="14"/>
      <c r="H16" s="14"/>
      <c r="I16" s="14"/>
      <c r="J16" s="14"/>
      <c r="K16" s="14"/>
      <c r="L16" s="14"/>
      <c r="M16" s="14"/>
      <c r="N16" s="14"/>
      <c r="O16" s="14"/>
      <c r="P16" s="14"/>
      <c r="Q16" s="14"/>
      <c r="R16" s="14"/>
      <c r="S16" s="14"/>
      <c r="T16" s="14"/>
      <c r="U16" s="14"/>
      <c r="V16" s="14"/>
      <c r="W16" s="14"/>
      <c r="X16" s="14"/>
      <c r="Y16" s="14"/>
      <c r="Z16" s="14"/>
      <c r="AA16" s="14"/>
    </row>
    <row r="17" spans="1:27" ht="155.25" customHeight="1">
      <c r="A17" s="14"/>
      <c r="B17" s="94" t="str">
        <f>VLOOKUP(C14,Instructions!B42:G45,1+MATCH(B12,Instructions!C41:G41,FALSE))</f>
        <v>▪ The company does not have codified financial controls.
▪ The financial controls in place and rudimentary and ineffective.</v>
      </c>
      <c r="C17" s="95"/>
      <c r="D17" s="96" t="str">
        <f>VLOOKUP(E14,Instructions!B8:C11,2,FALSE)</f>
        <v>▪ This aspect of the business is critical to the success of the business</v>
      </c>
      <c r="E17" s="97"/>
      <c r="F17" s="14"/>
      <c r="G17" s="14"/>
      <c r="H17" s="14"/>
      <c r="I17" s="14"/>
      <c r="J17" s="14"/>
      <c r="K17" s="14"/>
      <c r="L17" s="14"/>
      <c r="M17" s="14"/>
      <c r="N17" s="14"/>
      <c r="O17" s="14"/>
      <c r="P17" s="14"/>
      <c r="Q17" s="14"/>
      <c r="R17" s="14"/>
      <c r="S17" s="14"/>
      <c r="T17" s="14"/>
      <c r="U17" s="14"/>
      <c r="V17" s="14"/>
      <c r="W17" s="14"/>
      <c r="X17" s="14"/>
      <c r="Y17" s="14"/>
      <c r="Z17" s="14"/>
      <c r="AA17" s="14"/>
    </row>
    <row r="18" spans="1:27" ht="13.5"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row>
    <row r="19" spans="1:27" ht="13.5" customHeight="1">
      <c r="A19" s="14"/>
      <c r="B19" s="61" t="s">
        <v>173</v>
      </c>
      <c r="C19" s="62"/>
      <c r="D19" s="62"/>
      <c r="E19" s="62"/>
      <c r="F19" s="62"/>
      <c r="G19" s="62"/>
      <c r="H19" s="14"/>
      <c r="I19" s="14"/>
      <c r="J19" s="14"/>
      <c r="K19" s="14"/>
      <c r="L19" s="14"/>
      <c r="M19" s="14"/>
      <c r="N19" s="14"/>
      <c r="O19" s="14"/>
      <c r="P19" s="14"/>
      <c r="Q19" s="14"/>
      <c r="R19" s="14"/>
      <c r="S19" s="14"/>
      <c r="T19" s="14"/>
      <c r="U19" s="14"/>
      <c r="V19" s="14"/>
      <c r="W19" s="14"/>
      <c r="X19" s="14"/>
      <c r="Y19" s="14"/>
      <c r="Z19" s="14"/>
      <c r="AA19" s="14"/>
    </row>
    <row r="20" spans="1:27" ht="13.5" customHeight="1">
      <c r="A20" s="14"/>
      <c r="B20" s="63"/>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customHeight="1">
      <c r="A21" s="14"/>
      <c r="B21" s="63"/>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customHeight="1">
      <c r="A22" s="14"/>
      <c r="B22" s="63"/>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customHeight="1">
      <c r="A23" s="14"/>
      <c r="B23" s="63"/>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customHeight="1">
      <c r="A24" s="14"/>
      <c r="B24" s="63"/>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customHeight="1">
      <c r="A25" s="14"/>
      <c r="B25" s="63"/>
      <c r="C25" s="1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customHeight="1">
      <c r="A27" s="14"/>
      <c r="B27" s="14"/>
      <c r="C27" s="64"/>
      <c r="D27" s="14"/>
      <c r="E27" s="14"/>
      <c r="F27" s="14"/>
      <c r="G27" s="14"/>
      <c r="H27" s="14"/>
      <c r="I27" s="14"/>
      <c r="J27" s="14"/>
      <c r="K27" s="14"/>
      <c r="L27" s="14"/>
      <c r="M27" s="14"/>
      <c r="N27" s="14"/>
      <c r="O27" s="14"/>
      <c r="P27" s="14"/>
      <c r="Q27" s="14"/>
      <c r="R27" s="14"/>
      <c r="S27" s="14"/>
      <c r="T27" s="14"/>
      <c r="U27" s="14"/>
      <c r="V27" s="14"/>
      <c r="W27" s="14"/>
      <c r="X27" s="14"/>
      <c r="Y27" s="14"/>
      <c r="Z27" s="14"/>
      <c r="AA27" s="14"/>
    </row>
    <row r="28" spans="1:27" ht="13.5" customHeight="1">
      <c r="A28" s="14"/>
      <c r="B28" s="61" t="s">
        <v>181</v>
      </c>
      <c r="C28" s="62"/>
      <c r="D28" s="62"/>
      <c r="E28" s="62"/>
      <c r="F28" s="62"/>
      <c r="G28" s="62"/>
      <c r="H28" s="14"/>
      <c r="I28" s="14"/>
      <c r="J28" s="14"/>
      <c r="K28" s="14"/>
      <c r="L28" s="14"/>
      <c r="M28" s="14"/>
      <c r="N28" s="14"/>
      <c r="O28" s="14"/>
      <c r="P28" s="14"/>
      <c r="Q28" s="14"/>
      <c r="R28" s="14"/>
      <c r="S28" s="14"/>
      <c r="T28" s="14"/>
      <c r="U28" s="14"/>
      <c r="V28" s="14"/>
      <c r="W28" s="14"/>
      <c r="X28" s="14"/>
      <c r="Y28" s="14"/>
      <c r="Z28" s="14"/>
      <c r="AA28" s="14"/>
    </row>
    <row r="29" spans="1:27" ht="13.5"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spans="1:27" ht="13.5" customHeight="1">
      <c r="A35" s="14"/>
      <c r="B35" s="61" t="s">
        <v>182</v>
      </c>
      <c r="C35" s="62"/>
      <c r="D35" s="62"/>
      <c r="E35" s="62"/>
      <c r="F35" s="62"/>
      <c r="G35" s="62"/>
      <c r="H35" s="14"/>
      <c r="I35" s="14"/>
      <c r="J35" s="14"/>
      <c r="K35" s="14"/>
      <c r="L35" s="14"/>
      <c r="M35" s="14"/>
      <c r="N35" s="14"/>
      <c r="O35" s="14"/>
      <c r="P35" s="14"/>
      <c r="Q35" s="14"/>
      <c r="R35" s="14"/>
      <c r="S35" s="14"/>
      <c r="T35" s="14"/>
      <c r="U35" s="14"/>
      <c r="V35" s="14"/>
      <c r="W35" s="14"/>
      <c r="X35" s="14"/>
      <c r="Y35" s="14"/>
      <c r="Z35" s="14"/>
      <c r="AA35" s="14"/>
    </row>
    <row r="36" spans="1:27" ht="13.5"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customHeight="1">
      <c r="A38" s="14"/>
      <c r="B38" s="50"/>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customHeight="1">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row>
    <row r="42" spans="1:27" ht="13.5" customHeight="1">
      <c r="A42" s="14"/>
      <c r="B42" s="56" t="s">
        <v>183</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hidden="1" customHeight="1">
      <c r="A43" s="14"/>
      <c r="B43" s="55" t="str">
        <f>B5</f>
        <v>Stakeholder Management</v>
      </c>
      <c r="C43" s="56"/>
      <c r="D43" s="56"/>
      <c r="E43" s="56"/>
      <c r="F43" s="56"/>
      <c r="G43" s="56"/>
      <c r="H43" s="14"/>
      <c r="I43" s="14"/>
      <c r="J43" s="14"/>
      <c r="K43" s="14"/>
      <c r="L43" s="14"/>
      <c r="M43" s="14"/>
      <c r="N43" s="14"/>
      <c r="O43" s="14"/>
      <c r="P43" s="14"/>
      <c r="Q43" s="14"/>
      <c r="R43" s="14"/>
      <c r="S43" s="14"/>
      <c r="T43" s="14"/>
      <c r="U43" s="14"/>
      <c r="V43" s="14"/>
      <c r="W43" s="14"/>
      <c r="X43" s="14"/>
      <c r="Y43" s="14"/>
      <c r="Z43" s="14"/>
      <c r="AA43" s="14"/>
    </row>
    <row r="44" spans="1:27" ht="13.5" hidden="1" customHeight="1">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row>
    <row r="45" spans="1:27" ht="13.5" hidden="1" customHeight="1">
      <c r="A45" s="14"/>
      <c r="B45" s="57" t="s">
        <v>0</v>
      </c>
      <c r="C45" s="58">
        <v>2</v>
      </c>
      <c r="D45" s="59" t="s">
        <v>1</v>
      </c>
      <c r="E45" s="58">
        <v>3</v>
      </c>
      <c r="F45" s="57" t="s">
        <v>2</v>
      </c>
      <c r="G45" s="58">
        <f>C45*E45</f>
        <v>6</v>
      </c>
      <c r="H45" s="14"/>
      <c r="I45" s="14"/>
      <c r="J45" s="14"/>
      <c r="K45" s="14"/>
      <c r="L45" s="14"/>
      <c r="M45" s="14"/>
      <c r="N45" s="14"/>
      <c r="O45" s="14"/>
      <c r="P45" s="14"/>
      <c r="Q45" s="14"/>
      <c r="R45" s="14"/>
      <c r="S45" s="14"/>
      <c r="T45" s="14"/>
      <c r="U45" s="14"/>
      <c r="V45" s="14"/>
      <c r="W45" s="14"/>
      <c r="X45" s="14"/>
      <c r="Y45" s="14"/>
      <c r="Z45" s="14"/>
      <c r="AA45" s="14"/>
    </row>
    <row r="46" spans="1:27" ht="13.5" hidden="1" customHeight="1">
      <c r="A46" s="14"/>
      <c r="B46" s="14"/>
      <c r="C46" s="1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13.5" hidden="1" customHeight="1">
      <c r="A47" s="14"/>
      <c r="B47" s="89" t="s">
        <v>0</v>
      </c>
      <c r="C47" s="84"/>
      <c r="D47" s="60"/>
      <c r="E47" s="14"/>
      <c r="F47" s="14"/>
      <c r="G47" s="14"/>
      <c r="H47" s="14"/>
      <c r="I47" s="14"/>
      <c r="J47" s="14"/>
      <c r="K47" s="14"/>
      <c r="L47" s="14"/>
      <c r="M47" s="14"/>
      <c r="N47" s="14"/>
      <c r="O47" s="14"/>
      <c r="P47" s="14"/>
      <c r="Q47" s="14"/>
      <c r="R47" s="14"/>
      <c r="S47" s="14"/>
      <c r="T47" s="14"/>
      <c r="U47" s="14"/>
      <c r="V47" s="14"/>
      <c r="W47" s="14"/>
      <c r="X47" s="14"/>
      <c r="Y47" s="14"/>
      <c r="Z47" s="14"/>
      <c r="AA47" s="14"/>
    </row>
    <row r="48" spans="1:27" ht="99" hidden="1" customHeight="1">
      <c r="A48" s="14"/>
      <c r="B48" s="88" t="str">
        <f>VLOOKUP(C45,Instructions!B42:G45,1+MATCH(B43,Instructions!C41:G41,FALSE))</f>
        <v>▪ Key stakeholders are banks, primary investors, regulators and people.
▪ There are clearly defined roles and responsibilities to manage key stakeholders.
▪ The business understand stakeholder needs and is increasingly transparent in its communications.</v>
      </c>
      <c r="C48" s="84"/>
      <c r="D48" s="90" t="str">
        <f>VLOOKUP(E45,Instructions!B8:C11,2,FALSE)</f>
        <v>▪ This aspect of the business is of neutral importance to the success of the business</v>
      </c>
      <c r="E48" s="84"/>
      <c r="F48" s="14"/>
      <c r="G48" s="14"/>
      <c r="H48" s="14"/>
      <c r="I48" s="14"/>
      <c r="J48" s="14"/>
      <c r="K48" s="14"/>
      <c r="L48" s="14"/>
      <c r="M48" s="14"/>
      <c r="N48" s="14"/>
      <c r="O48" s="14"/>
      <c r="P48" s="14"/>
      <c r="Q48" s="14"/>
      <c r="R48" s="14"/>
      <c r="S48" s="14"/>
      <c r="T48" s="14"/>
      <c r="U48" s="14"/>
      <c r="V48" s="14"/>
      <c r="W48" s="14"/>
      <c r="X48" s="14"/>
      <c r="Y48" s="14"/>
      <c r="Z48" s="14"/>
      <c r="AA48" s="14"/>
    </row>
    <row r="49" spans="1:27" ht="13.5" hidden="1"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row>
    <row r="50" spans="1:27" ht="13.5" hidden="1" customHeight="1">
      <c r="A50" s="14"/>
      <c r="B50" s="61" t="s">
        <v>173</v>
      </c>
      <c r="C50" s="62"/>
      <c r="D50" s="62"/>
      <c r="E50" s="62"/>
      <c r="F50" s="62"/>
      <c r="G50" s="62"/>
      <c r="H50" s="14"/>
      <c r="I50" s="14"/>
      <c r="J50" s="14"/>
      <c r="K50" s="14"/>
      <c r="L50" s="14"/>
      <c r="M50" s="14"/>
      <c r="N50" s="14"/>
      <c r="O50" s="14"/>
      <c r="P50" s="14"/>
      <c r="Q50" s="14"/>
      <c r="R50" s="14"/>
      <c r="S50" s="14"/>
      <c r="T50" s="14"/>
      <c r="U50" s="14"/>
      <c r="V50" s="14"/>
      <c r="W50" s="14"/>
      <c r="X50" s="14"/>
      <c r="Y50" s="14"/>
      <c r="Z50" s="14"/>
      <c r="AA50" s="14"/>
    </row>
    <row r="51" spans="1:27" ht="13.5" hidden="1" customHeight="1">
      <c r="A51" s="14"/>
      <c r="B51" s="63"/>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hidden="1" customHeight="1">
      <c r="A52" s="14"/>
      <c r="B52" s="63"/>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hidden="1" customHeight="1">
      <c r="A53" s="14"/>
      <c r="B53" s="63"/>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hidden="1" customHeight="1">
      <c r="A54" s="14"/>
      <c r="B54" s="63"/>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hidden="1" customHeight="1">
      <c r="A55" s="14"/>
      <c r="B55" s="63"/>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hidden="1" customHeight="1">
      <c r="A56" s="14"/>
      <c r="B56" s="63"/>
      <c r="C56" s="1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hidden="1"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hidden="1" customHeight="1">
      <c r="A58" s="14"/>
      <c r="B58" s="14"/>
      <c r="C58" s="64"/>
      <c r="D58" s="14"/>
      <c r="E58" s="14"/>
      <c r="F58" s="14"/>
      <c r="G58" s="14"/>
      <c r="H58" s="14"/>
      <c r="I58" s="14"/>
      <c r="J58" s="14"/>
      <c r="K58" s="14"/>
      <c r="L58" s="14"/>
      <c r="M58" s="14"/>
      <c r="N58" s="14"/>
      <c r="O58" s="14"/>
      <c r="P58" s="14"/>
      <c r="Q58" s="14"/>
      <c r="R58" s="14"/>
      <c r="S58" s="14"/>
      <c r="T58" s="14"/>
      <c r="U58" s="14"/>
      <c r="V58" s="14"/>
      <c r="W58" s="14"/>
      <c r="X58" s="14"/>
      <c r="Y58" s="14"/>
      <c r="Z58" s="14"/>
      <c r="AA58" s="14"/>
    </row>
    <row r="59" spans="1:27" ht="13.5" hidden="1" customHeight="1">
      <c r="A59" s="14"/>
      <c r="B59" s="61" t="s">
        <v>181</v>
      </c>
      <c r="C59" s="62"/>
      <c r="D59" s="62"/>
      <c r="E59" s="62"/>
      <c r="F59" s="62"/>
      <c r="G59" s="62"/>
      <c r="H59" s="14"/>
      <c r="I59" s="14"/>
      <c r="J59" s="14"/>
      <c r="K59" s="14"/>
      <c r="L59" s="14"/>
      <c r="M59" s="14"/>
      <c r="N59" s="14"/>
      <c r="O59" s="14"/>
      <c r="P59" s="14"/>
      <c r="Q59" s="14"/>
      <c r="R59" s="14"/>
      <c r="S59" s="14"/>
      <c r="T59" s="14"/>
      <c r="U59" s="14"/>
      <c r="V59" s="14"/>
      <c r="W59" s="14"/>
      <c r="X59" s="14"/>
      <c r="Y59" s="14"/>
      <c r="Z59" s="14"/>
      <c r="AA59" s="14"/>
    </row>
    <row r="60" spans="1:27" ht="13.5" hidden="1"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hidden="1"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hidden="1"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hidden="1"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hidden="1"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hidden="1"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spans="1:27" ht="13.5" hidden="1" customHeight="1">
      <c r="A66" s="14"/>
      <c r="B66" s="61" t="s">
        <v>182</v>
      </c>
      <c r="C66" s="62"/>
      <c r="D66" s="62"/>
      <c r="E66" s="62"/>
      <c r="F66" s="62"/>
      <c r="G66" s="62"/>
      <c r="H66" s="14"/>
      <c r="I66" s="14"/>
      <c r="J66" s="14"/>
      <c r="K66" s="14"/>
      <c r="L66" s="14"/>
      <c r="M66" s="14"/>
      <c r="N66" s="14"/>
      <c r="O66" s="14"/>
      <c r="P66" s="14"/>
      <c r="Q66" s="14"/>
      <c r="R66" s="14"/>
      <c r="S66" s="14"/>
      <c r="T66" s="14"/>
      <c r="U66" s="14"/>
      <c r="V66" s="14"/>
      <c r="W66" s="14"/>
      <c r="X66" s="14"/>
      <c r="Y66" s="14"/>
      <c r="Z66" s="14"/>
      <c r="AA66" s="14"/>
    </row>
    <row r="67" spans="1:27" ht="13.5" hidden="1"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hidden="1"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hidden="1" customHeight="1">
      <c r="A69" s="14"/>
      <c r="B69" s="50"/>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hidden="1"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hidden="1"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hidden="1"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spans="1:27" ht="13.5" hidden="1" customHeight="1">
      <c r="A73" s="14"/>
      <c r="B73" s="56" t="s">
        <v>183</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55" t="str">
        <f>B6</f>
        <v>People and Organization</v>
      </c>
      <c r="C74" s="56"/>
      <c r="D74" s="56"/>
      <c r="E74" s="56"/>
      <c r="F74" s="56"/>
      <c r="G74" s="56"/>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57" t="s">
        <v>0</v>
      </c>
      <c r="C76" s="58">
        <v>1</v>
      </c>
      <c r="D76" s="59" t="s">
        <v>1</v>
      </c>
      <c r="E76" s="58">
        <v>2</v>
      </c>
      <c r="F76" s="57" t="s">
        <v>2</v>
      </c>
      <c r="G76" s="58">
        <f>C76*E76</f>
        <v>2</v>
      </c>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14"/>
      <c r="C77" s="1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13.5" hidden="1" customHeight="1">
      <c r="A78" s="14"/>
      <c r="B78" s="89" t="s">
        <v>0</v>
      </c>
      <c r="C78" s="84"/>
      <c r="D78" s="60"/>
      <c r="E78" s="14"/>
      <c r="F78" s="14"/>
      <c r="G78" s="14"/>
      <c r="H78" s="14"/>
      <c r="I78" s="14"/>
      <c r="J78" s="14"/>
      <c r="K78" s="14"/>
      <c r="L78" s="14"/>
      <c r="M78" s="14"/>
      <c r="N78" s="14"/>
      <c r="O78" s="14"/>
      <c r="P78" s="14"/>
      <c r="Q78" s="14"/>
      <c r="R78" s="14"/>
      <c r="S78" s="14"/>
      <c r="T78" s="14"/>
      <c r="U78" s="14"/>
      <c r="V78" s="14"/>
      <c r="W78" s="14"/>
      <c r="X78" s="14"/>
      <c r="Y78" s="14"/>
      <c r="Z78" s="14"/>
      <c r="AA78" s="14"/>
    </row>
    <row r="79" spans="1:27" ht="131.25" hidden="1" customHeight="1">
      <c r="A79" s="14"/>
      <c r="B79" s="88" t="str">
        <f>VLOOKUP(C76,Instructions!B42:G45,1+MATCH(B74,Instructions!C41:G41,FALSE))</f>
        <v xml:space="preserve">▪ The structure is highly efficient and effective.
▪  The structure is an optimal combination of shared services, outsourcing, and local capability which enables the group to provide consistent services.
▪ Finance is a reliable pipeline of leadership talent for the business.
</v>
      </c>
      <c r="C79" s="84"/>
      <c r="D79" s="90" t="str">
        <f>VLOOKUP(E76,Instructions!B8:C11,2,FALSE)</f>
        <v>▪ This aspect of the business is not critical to the success of the business</v>
      </c>
      <c r="E79" s="8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1" t="s">
        <v>173</v>
      </c>
      <c r="C81" s="62"/>
      <c r="D81" s="62"/>
      <c r="E81" s="62"/>
      <c r="F81" s="62"/>
      <c r="G81" s="62"/>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63"/>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63"/>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14"/>
      <c r="C89" s="64"/>
      <c r="D89" s="14"/>
      <c r="E89" s="14"/>
      <c r="F89" s="14"/>
      <c r="G89" s="14"/>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61" t="s">
        <v>181</v>
      </c>
      <c r="C90" s="62"/>
      <c r="D90" s="62"/>
      <c r="E90" s="62"/>
      <c r="F90" s="62"/>
      <c r="G90" s="62"/>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61" t="s">
        <v>182</v>
      </c>
      <c r="C97" s="62"/>
      <c r="D97" s="62"/>
      <c r="E97" s="62"/>
      <c r="F97" s="62"/>
      <c r="G97" s="62"/>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50"/>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6" t="s">
        <v>183</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hidden="1" customHeight="1">
      <c r="A105" s="14"/>
      <c r="B105" s="55" t="str">
        <f>B7</f>
        <v>Data and Technology</v>
      </c>
      <c r="C105" s="56"/>
      <c r="D105" s="56"/>
      <c r="E105" s="56"/>
      <c r="F105" s="56"/>
      <c r="G105" s="56"/>
      <c r="H105" s="14"/>
      <c r="I105" s="14"/>
      <c r="J105" s="14"/>
      <c r="K105" s="14"/>
      <c r="L105" s="14"/>
      <c r="M105" s="14"/>
      <c r="N105" s="14"/>
      <c r="O105" s="14"/>
      <c r="P105" s="14"/>
      <c r="Q105" s="14"/>
      <c r="R105" s="14"/>
      <c r="S105" s="14"/>
      <c r="T105" s="14"/>
      <c r="U105" s="14"/>
      <c r="V105" s="14"/>
      <c r="W105" s="14"/>
      <c r="X105" s="14"/>
      <c r="Y105" s="14"/>
      <c r="Z105" s="14"/>
      <c r="AA105" s="14"/>
    </row>
    <row r="106" spans="1:27" ht="13.5" hidden="1"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spans="1:27" ht="13.5" hidden="1" customHeight="1">
      <c r="A107" s="14"/>
      <c r="B107" s="57" t="s">
        <v>0</v>
      </c>
      <c r="C107" s="58">
        <v>3</v>
      </c>
      <c r="D107" s="59" t="s">
        <v>1</v>
      </c>
      <c r="E107" s="58">
        <v>3</v>
      </c>
      <c r="F107" s="57" t="s">
        <v>2</v>
      </c>
      <c r="G107" s="58">
        <f>C107*E107</f>
        <v>9</v>
      </c>
      <c r="H107" s="14"/>
      <c r="I107" s="14"/>
      <c r="J107" s="14"/>
      <c r="K107" s="14"/>
      <c r="L107" s="14"/>
      <c r="M107" s="14"/>
      <c r="N107" s="14"/>
      <c r="O107" s="14"/>
      <c r="P107" s="14"/>
      <c r="Q107" s="14"/>
      <c r="R107" s="14"/>
      <c r="S107" s="14"/>
      <c r="T107" s="14"/>
      <c r="U107" s="14"/>
      <c r="V107" s="14"/>
      <c r="W107" s="14"/>
      <c r="X107" s="14"/>
      <c r="Y107" s="14"/>
      <c r="Z107" s="14"/>
      <c r="AA107" s="14"/>
    </row>
    <row r="108" spans="1:27" ht="13.5" hidden="1" customHeight="1">
      <c r="A108" s="14"/>
      <c r="B108" s="14"/>
      <c r="C108" s="14"/>
      <c r="D108" s="60"/>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spans="1:27" ht="13.5" hidden="1" customHeight="1">
      <c r="A109" s="14"/>
      <c r="B109" s="89" t="s">
        <v>0</v>
      </c>
      <c r="C109" s="84"/>
      <c r="D109" s="60"/>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99" hidden="1" customHeight="1">
      <c r="A110" s="14"/>
      <c r="B110" s="88" t="str">
        <f>VLOOKUP(C107,Instructions!B42:G45,1+MATCH(B105,Instructions!C41:G41,FALSE))</f>
        <v>▪ Finance and tax teams rely heavily on basic systems of spreadsheets to compensate for underdeveloped core finance systems.
▪ Accuracy is the primacy focus of financial owners.</v>
      </c>
      <c r="C110" s="84"/>
      <c r="D110" s="90" t="str">
        <f>VLOOKUP(E107,Instructions!B8:C11,2,FALSE)</f>
        <v>▪ This aspect of the business is of neutral importance to the success of the business</v>
      </c>
      <c r="E110" s="8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hidden="1"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spans="1:27" ht="13.5" hidden="1" customHeight="1">
      <c r="A112" s="14"/>
      <c r="B112" s="61" t="s">
        <v>173</v>
      </c>
      <c r="C112" s="62"/>
      <c r="D112" s="62"/>
      <c r="E112" s="62"/>
      <c r="F112" s="62"/>
      <c r="G112" s="62"/>
      <c r="H112" s="14"/>
      <c r="I112" s="14"/>
      <c r="J112" s="14"/>
      <c r="K112" s="14"/>
      <c r="L112" s="14"/>
      <c r="M112" s="14"/>
      <c r="N112" s="14"/>
      <c r="O112" s="14"/>
      <c r="P112" s="14"/>
      <c r="Q112" s="14"/>
      <c r="R112" s="14"/>
      <c r="S112" s="14"/>
      <c r="T112" s="14"/>
      <c r="U112" s="14"/>
      <c r="V112" s="14"/>
      <c r="W112" s="14"/>
      <c r="X112" s="14"/>
      <c r="Y112" s="14"/>
      <c r="Z112" s="14"/>
      <c r="AA112" s="14"/>
    </row>
    <row r="113" spans="1:27" ht="13.5" hidden="1" customHeight="1">
      <c r="A113" s="14"/>
      <c r="B113" s="63"/>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hidden="1" customHeight="1">
      <c r="A114" s="14"/>
      <c r="B114" s="63"/>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hidden="1" customHeight="1">
      <c r="A115" s="14"/>
      <c r="B115" s="6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hidden="1" customHeight="1">
      <c r="A116" s="14"/>
      <c r="B116" s="63"/>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hidden="1" customHeight="1">
      <c r="A117" s="14"/>
      <c r="B117" s="63"/>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hidden="1" customHeight="1">
      <c r="A118" s="14"/>
      <c r="B118" s="63"/>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hidden="1"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hidden="1" customHeight="1">
      <c r="A120" s="14"/>
      <c r="B120" s="14"/>
      <c r="C120" s="6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spans="1:27" ht="13.5" hidden="1" customHeight="1">
      <c r="A121" s="14"/>
      <c r="B121" s="61" t="s">
        <v>181</v>
      </c>
      <c r="C121" s="62"/>
      <c r="D121" s="62"/>
      <c r="E121" s="62"/>
      <c r="F121" s="62"/>
      <c r="G121" s="62"/>
      <c r="H121" s="14"/>
      <c r="I121" s="14"/>
      <c r="J121" s="14"/>
      <c r="K121" s="14"/>
      <c r="L121" s="14"/>
      <c r="M121" s="14"/>
      <c r="N121" s="14"/>
      <c r="O121" s="14"/>
      <c r="P121" s="14"/>
      <c r="Q121" s="14"/>
      <c r="R121" s="14"/>
      <c r="S121" s="14"/>
      <c r="T121" s="14"/>
      <c r="U121" s="14"/>
      <c r="V121" s="14"/>
      <c r="W121" s="14"/>
      <c r="X121" s="14"/>
      <c r="Y121" s="14"/>
      <c r="Z121" s="14"/>
      <c r="AA121" s="14"/>
    </row>
    <row r="122" spans="1:27" ht="13.5" hidden="1"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hidden="1"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hidden="1"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hidden="1"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hidden="1"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hidden="1"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spans="1:27" ht="13.5" hidden="1" customHeight="1">
      <c r="A128" s="14"/>
      <c r="B128" s="61" t="s">
        <v>182</v>
      </c>
      <c r="C128" s="62"/>
      <c r="D128" s="62"/>
      <c r="E128" s="62"/>
      <c r="F128" s="62"/>
      <c r="G128" s="62"/>
      <c r="H128" s="14"/>
      <c r="I128" s="14"/>
      <c r="J128" s="14"/>
      <c r="K128" s="14"/>
      <c r="L128" s="14"/>
      <c r="M128" s="14"/>
      <c r="N128" s="14"/>
      <c r="O128" s="14"/>
      <c r="P128" s="14"/>
      <c r="Q128" s="14"/>
      <c r="R128" s="14"/>
      <c r="S128" s="14"/>
      <c r="T128" s="14"/>
      <c r="U128" s="14"/>
      <c r="V128" s="14"/>
      <c r="W128" s="14"/>
      <c r="X128" s="14"/>
      <c r="Y128" s="14"/>
      <c r="Z128" s="14"/>
      <c r="AA128" s="14"/>
    </row>
    <row r="129" spans="1:27" ht="13.5" hidden="1"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hidden="1"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hidden="1" customHeight="1">
      <c r="A131" s="14"/>
      <c r="B131" s="50"/>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hidden="1"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hidden="1"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hidden="1"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spans="1:27" ht="13.5" hidden="1" customHeight="1">
      <c r="A135" s="14"/>
      <c r="B135" s="56" t="s">
        <v>183</v>
      </c>
      <c r="C135" s="56"/>
      <c r="D135" s="56"/>
      <c r="E135" s="56"/>
      <c r="F135" s="56"/>
      <c r="G135" s="56"/>
      <c r="H135" s="14"/>
      <c r="I135" s="14"/>
      <c r="J135" s="14"/>
      <c r="K135" s="14"/>
      <c r="L135" s="14"/>
      <c r="M135" s="14"/>
      <c r="N135" s="14"/>
      <c r="O135" s="14"/>
      <c r="P135" s="14"/>
      <c r="Q135" s="14"/>
      <c r="R135" s="14"/>
      <c r="S135" s="14"/>
      <c r="T135" s="14"/>
      <c r="U135" s="14"/>
      <c r="V135" s="14"/>
      <c r="W135" s="14"/>
      <c r="X135" s="14"/>
      <c r="Y135" s="14"/>
      <c r="Z135" s="14"/>
      <c r="AA135" s="14"/>
    </row>
    <row r="136" spans="1:27" ht="13.5" hidden="1" customHeight="1">
      <c r="A136" s="14"/>
      <c r="B136" s="55" t="str">
        <f>B8</f>
        <v>Funding Growth</v>
      </c>
      <c r="C136" s="56"/>
      <c r="D136" s="56"/>
      <c r="E136" s="56"/>
      <c r="F136" s="56"/>
      <c r="G136" s="56"/>
      <c r="H136" s="14"/>
      <c r="I136" s="14"/>
      <c r="J136" s="14"/>
      <c r="K136" s="14"/>
      <c r="L136" s="14"/>
      <c r="M136" s="14"/>
      <c r="N136" s="14"/>
      <c r="O136" s="14"/>
      <c r="P136" s="14"/>
      <c r="Q136" s="14"/>
      <c r="R136" s="14"/>
      <c r="S136" s="14"/>
      <c r="T136" s="14"/>
      <c r="U136" s="14"/>
      <c r="V136" s="14"/>
      <c r="W136" s="14"/>
      <c r="X136" s="14"/>
      <c r="Y136" s="14"/>
      <c r="Z136" s="14"/>
      <c r="AA136" s="14"/>
    </row>
    <row r="137" spans="1:27" ht="13.5" hidden="1"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hidden="1" customHeight="1">
      <c r="A138" s="14"/>
      <c r="B138" s="57" t="s">
        <v>0</v>
      </c>
      <c r="C138" s="58">
        <v>3</v>
      </c>
      <c r="D138" s="59" t="s">
        <v>1</v>
      </c>
      <c r="E138" s="58">
        <v>3</v>
      </c>
      <c r="F138" s="57" t="s">
        <v>2</v>
      </c>
      <c r="G138" s="58">
        <f>C138*E138</f>
        <v>9</v>
      </c>
      <c r="H138" s="14"/>
      <c r="I138" s="14"/>
      <c r="J138" s="14"/>
      <c r="K138" s="14"/>
      <c r="L138" s="14"/>
      <c r="M138" s="14"/>
      <c r="N138" s="14"/>
      <c r="O138" s="14"/>
      <c r="P138" s="14"/>
      <c r="Q138" s="14"/>
      <c r="R138" s="14"/>
      <c r="S138" s="14"/>
      <c r="T138" s="14"/>
      <c r="U138" s="14"/>
      <c r="V138" s="14"/>
      <c r="W138" s="14"/>
      <c r="X138" s="14"/>
      <c r="Y138" s="14"/>
      <c r="Z138" s="14"/>
      <c r="AA138" s="14"/>
    </row>
    <row r="139" spans="1:27" ht="13.5" hidden="1" customHeight="1">
      <c r="A139" s="14"/>
      <c r="B139" s="14"/>
      <c r="C139" s="14"/>
      <c r="D139" s="60"/>
      <c r="E139" s="14"/>
      <c r="F139" s="14"/>
      <c r="G139" s="14"/>
      <c r="H139" s="14"/>
      <c r="I139" s="14"/>
      <c r="J139" s="14"/>
      <c r="K139" s="14"/>
      <c r="L139" s="14"/>
      <c r="M139" s="14"/>
      <c r="N139" s="14"/>
      <c r="O139" s="14"/>
      <c r="P139" s="14"/>
      <c r="Q139" s="14"/>
      <c r="R139" s="14"/>
      <c r="S139" s="14"/>
      <c r="T139" s="14"/>
      <c r="U139" s="14"/>
      <c r="V139" s="14"/>
      <c r="W139" s="14"/>
      <c r="X139" s="14"/>
      <c r="Y139" s="14"/>
      <c r="Z139" s="14"/>
      <c r="AA139" s="14"/>
    </row>
    <row r="140" spans="1:27" ht="13.5" hidden="1" customHeight="1">
      <c r="A140" s="14"/>
      <c r="B140" s="89" t="s">
        <v>0</v>
      </c>
      <c r="C140" s="84"/>
      <c r="D140" s="60"/>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99" hidden="1" customHeight="1">
      <c r="A141" s="14"/>
      <c r="B141" s="88" t="str">
        <f>VLOOKUP(C138,Instructions!B42:G45,1+MATCH(B136,Instructions!C41:G41,FALSE))</f>
        <v>▪ Lack of funding constrains growth
▪ Leaders are focused on top-line growth and liquidity events.
▪ Capital sources are identified and evaluated.
▪ Leaders are aware of how working capital supports funding</v>
      </c>
      <c r="C141" s="84"/>
      <c r="D141" s="90" t="str">
        <f>VLOOKUP(E138,Instructions!B8:C11,2,FALSE)</f>
        <v>▪ This aspect of the business is of neutral importance to the success of the business</v>
      </c>
      <c r="E141" s="8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hidden="1" customHeight="1">
      <c r="A143" s="14"/>
      <c r="B143" s="61" t="s">
        <v>173</v>
      </c>
      <c r="C143" s="62"/>
      <c r="D143" s="62"/>
      <c r="E143" s="62"/>
      <c r="F143" s="62"/>
      <c r="G143" s="62"/>
      <c r="H143" s="14"/>
      <c r="I143" s="14"/>
      <c r="J143" s="14"/>
      <c r="K143" s="14"/>
      <c r="L143" s="14"/>
      <c r="M143" s="14"/>
      <c r="N143" s="14"/>
      <c r="O143" s="14"/>
      <c r="P143" s="14"/>
      <c r="Q143" s="14"/>
      <c r="R143" s="14"/>
      <c r="S143" s="14"/>
      <c r="T143" s="14"/>
      <c r="U143" s="14"/>
      <c r="V143" s="14"/>
      <c r="W143" s="14"/>
      <c r="X143" s="14"/>
      <c r="Y143" s="14"/>
      <c r="Z143" s="14"/>
      <c r="AA143" s="14"/>
    </row>
    <row r="144" spans="1:27" ht="13.5" hidden="1" customHeight="1">
      <c r="A144" s="14"/>
      <c r="B144" s="63"/>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hidden="1" customHeight="1">
      <c r="A145" s="14"/>
      <c r="B145" s="63"/>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hidden="1" customHeight="1">
      <c r="A146" s="14"/>
      <c r="B146" s="63"/>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hidden="1" customHeight="1">
      <c r="A147" s="14"/>
      <c r="B147" s="63"/>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hidden="1" customHeight="1">
      <c r="A148" s="14"/>
      <c r="B148" s="63"/>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hidden="1" customHeight="1">
      <c r="A149" s="14"/>
      <c r="B149" s="63"/>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hidden="1" customHeight="1">
      <c r="A150" s="14"/>
      <c r="B150" s="14"/>
      <c r="C150" s="6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hidden="1" customHeight="1">
      <c r="A151" s="14"/>
      <c r="B151" s="14"/>
      <c r="C151" s="6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hidden="1" customHeight="1">
      <c r="A152" s="14"/>
      <c r="B152" s="61" t="s">
        <v>181</v>
      </c>
      <c r="C152" s="62"/>
      <c r="D152" s="62"/>
      <c r="E152" s="62"/>
      <c r="F152" s="62"/>
      <c r="G152" s="62"/>
      <c r="H152" s="14"/>
      <c r="I152" s="14"/>
      <c r="J152" s="14"/>
      <c r="K152" s="14"/>
      <c r="L152" s="14"/>
      <c r="M152" s="14"/>
      <c r="N152" s="14"/>
      <c r="O152" s="14"/>
      <c r="P152" s="14"/>
      <c r="Q152" s="14"/>
      <c r="R152" s="14"/>
      <c r="S152" s="14"/>
      <c r="T152" s="14"/>
      <c r="U152" s="14"/>
      <c r="V152" s="14"/>
      <c r="W152" s="14"/>
      <c r="X152" s="14"/>
      <c r="Y152" s="14"/>
      <c r="Z152" s="14"/>
      <c r="AA152" s="14"/>
    </row>
    <row r="153" spans="1:27" ht="13.5" hidden="1"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hidden="1"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hidden="1"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hidden="1"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hidden="1"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hidden="1"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hidden="1" customHeight="1">
      <c r="A159" s="14"/>
      <c r="B159" s="61" t="s">
        <v>182</v>
      </c>
      <c r="C159" s="62"/>
      <c r="D159" s="62"/>
      <c r="E159" s="62"/>
      <c r="F159" s="62"/>
      <c r="G159" s="62"/>
      <c r="H159" s="14"/>
      <c r="I159" s="14"/>
      <c r="J159" s="14"/>
      <c r="K159" s="14"/>
      <c r="L159" s="14"/>
      <c r="M159" s="14"/>
      <c r="N159" s="14"/>
      <c r="O159" s="14"/>
      <c r="P159" s="14"/>
      <c r="Q159" s="14"/>
      <c r="R159" s="14"/>
      <c r="S159" s="14"/>
      <c r="T159" s="14"/>
      <c r="U159" s="14"/>
      <c r="V159" s="14"/>
      <c r="W159" s="14"/>
      <c r="X159" s="14"/>
      <c r="Y159" s="14"/>
      <c r="Z159" s="14"/>
      <c r="AA159" s="14"/>
    </row>
    <row r="160" spans="1:27" ht="13.5" hidden="1"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hidden="1"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hidden="1" customHeight="1">
      <c r="A162" s="14"/>
      <c r="B162" s="50"/>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hidden="1"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hidden="1"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hidden="1"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hidden="1" customHeight="1">
      <c r="A166" s="14"/>
      <c r="B166" s="56" t="s">
        <v>183</v>
      </c>
      <c r="C166" s="56"/>
      <c r="D166" s="56"/>
      <c r="E166" s="56"/>
      <c r="F166" s="56"/>
      <c r="G166" s="56"/>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7">
    <mergeCell ref="B47:C47"/>
    <mergeCell ref="D48:E48"/>
    <mergeCell ref="B140:C140"/>
    <mergeCell ref="B141:C141"/>
    <mergeCell ref="D141:E141"/>
    <mergeCell ref="B48:C48"/>
    <mergeCell ref="B78:C78"/>
    <mergeCell ref="B79:C79"/>
    <mergeCell ref="D79:E79"/>
    <mergeCell ref="B109:C109"/>
    <mergeCell ref="B110:C110"/>
    <mergeCell ref="D110:E110"/>
    <mergeCell ref="B1:F1"/>
    <mergeCell ref="B16:C16"/>
    <mergeCell ref="D16:E16"/>
    <mergeCell ref="B17:C17"/>
    <mergeCell ref="D17:E17"/>
  </mergeCells>
  <conditionalFormatting sqref="C14:C15">
    <cfRule type="colorScale" priority="1">
      <colorScale>
        <cfvo type="formula" val="1"/>
        <cfvo type="formula" val="2.5"/>
        <cfvo type="formula" val="4"/>
        <color rgb="FF6DCC32"/>
        <color rgb="FFFFE600"/>
        <color rgb="FFC00000"/>
      </colorScale>
    </cfRule>
  </conditionalFormatting>
  <conditionalFormatting sqref="E14:E15">
    <cfRule type="colorScale" priority="2">
      <colorScale>
        <cfvo type="formula" val="1"/>
        <cfvo type="formula" val="2.5"/>
        <cfvo type="formula" val="4"/>
        <color rgb="FF6DCC32"/>
        <color rgb="FFFFC000"/>
        <color rgb="FFC00000"/>
      </colorScale>
    </cfRule>
  </conditionalFormatting>
  <conditionalFormatting sqref="G14:G16">
    <cfRule type="colorScale" priority="3">
      <colorScale>
        <cfvo type="formula" val="1"/>
        <cfvo type="formula" val="8.5"/>
        <cfvo type="formula" val="16"/>
        <color rgb="FF6DCC32"/>
        <color rgb="FFFFC000"/>
        <color rgb="FFC00000"/>
      </colorScale>
    </cfRule>
  </conditionalFormatting>
  <conditionalFormatting sqref="C45:C46">
    <cfRule type="colorScale" priority="4">
      <colorScale>
        <cfvo type="formula" val="1"/>
        <cfvo type="formula" val="2.5"/>
        <cfvo type="formula" val="4"/>
        <color rgb="FF6DCC32"/>
        <color rgb="FFFFE600"/>
        <color rgb="FFC00000"/>
      </colorScale>
    </cfRule>
  </conditionalFormatting>
  <conditionalFormatting sqref="E45:E47">
    <cfRule type="colorScale" priority="5">
      <colorScale>
        <cfvo type="formula" val="1"/>
        <cfvo type="formula" val="2.5"/>
        <cfvo type="formula" val="4"/>
        <color rgb="FF6DCC32"/>
        <color rgb="FFFFC000"/>
        <color rgb="FFC00000"/>
      </colorScale>
    </cfRule>
  </conditionalFormatting>
  <conditionalFormatting sqref="G45:G47">
    <cfRule type="colorScale" priority="6">
      <colorScale>
        <cfvo type="formula" val="1"/>
        <cfvo type="formula" val="8.5"/>
        <cfvo type="formula" val="16"/>
        <color rgb="FF6DCC32"/>
        <color rgb="FFFFC000"/>
        <color rgb="FFC00000"/>
      </colorScale>
    </cfRule>
  </conditionalFormatting>
  <conditionalFormatting sqref="C76:C77">
    <cfRule type="colorScale" priority="7">
      <colorScale>
        <cfvo type="formula" val="1"/>
        <cfvo type="formula" val="2.5"/>
        <cfvo type="formula" val="4"/>
        <color rgb="FF6DCC32"/>
        <color rgb="FFFFE600"/>
        <color rgb="FFC00000"/>
      </colorScale>
    </cfRule>
  </conditionalFormatting>
  <conditionalFormatting sqref="E76:E78">
    <cfRule type="colorScale" priority="8">
      <colorScale>
        <cfvo type="formula" val="1"/>
        <cfvo type="formula" val="2.5"/>
        <cfvo type="formula" val="4"/>
        <color rgb="FF6DCC32"/>
        <color rgb="FFFFC000"/>
        <color rgb="FFC00000"/>
      </colorScale>
    </cfRule>
  </conditionalFormatting>
  <conditionalFormatting sqref="G76:G78">
    <cfRule type="colorScale" priority="9">
      <colorScale>
        <cfvo type="formula" val="1"/>
        <cfvo type="formula" val="8.5"/>
        <cfvo type="formula" val="16"/>
        <color rgb="FF6DCC32"/>
        <color rgb="FFFFC000"/>
        <color rgb="FFC00000"/>
      </colorScale>
    </cfRule>
  </conditionalFormatting>
  <conditionalFormatting sqref="C107:C108">
    <cfRule type="colorScale" priority="10">
      <colorScale>
        <cfvo type="formula" val="1"/>
        <cfvo type="formula" val="2.5"/>
        <cfvo type="formula" val="4"/>
        <color rgb="FF6DCC32"/>
        <color rgb="FFFFE600"/>
        <color rgb="FFC00000"/>
      </colorScale>
    </cfRule>
  </conditionalFormatting>
  <conditionalFormatting sqref="E107:E109">
    <cfRule type="colorScale" priority="11">
      <colorScale>
        <cfvo type="formula" val="1"/>
        <cfvo type="formula" val="2.5"/>
        <cfvo type="formula" val="4"/>
        <color rgb="FF6DCC32"/>
        <color rgb="FFFFC000"/>
        <color rgb="FFC00000"/>
      </colorScale>
    </cfRule>
  </conditionalFormatting>
  <conditionalFormatting sqref="G107:G109">
    <cfRule type="colorScale" priority="12">
      <colorScale>
        <cfvo type="formula" val="1"/>
        <cfvo type="formula" val="8.5"/>
        <cfvo type="formula" val="16"/>
        <color rgb="FF6DCC32"/>
        <color rgb="FFFFC000"/>
        <color rgb="FFC00000"/>
      </colorScale>
    </cfRule>
  </conditionalFormatting>
  <conditionalFormatting sqref="C138:C139">
    <cfRule type="colorScale" priority="13">
      <colorScale>
        <cfvo type="formula" val="1"/>
        <cfvo type="formula" val="2.5"/>
        <cfvo type="formula" val="4"/>
        <color rgb="FF6DCC32"/>
        <color rgb="FFFFE600"/>
        <color rgb="FFC00000"/>
      </colorScale>
    </cfRule>
  </conditionalFormatting>
  <conditionalFormatting sqref="E138:E140">
    <cfRule type="colorScale" priority="14">
      <colorScale>
        <cfvo type="formula" val="1"/>
        <cfvo type="formula" val="2.5"/>
        <cfvo type="formula" val="4"/>
        <color rgb="FF6DCC32"/>
        <color rgb="FFFFC000"/>
        <color rgb="FFC00000"/>
      </colorScale>
    </cfRule>
  </conditionalFormatting>
  <conditionalFormatting sqref="G138:G140">
    <cfRule type="colorScale" priority="15">
      <colorScale>
        <cfvo type="formula" val="1"/>
        <cfvo type="formula" val="8.5"/>
        <cfvo type="formula" val="16"/>
        <color rgb="FF6DCC32"/>
        <color rgb="FFFFC000"/>
        <color rgb="FFC00000"/>
      </colorScale>
    </cfRule>
  </conditionalFormatting>
  <conditionalFormatting sqref="C3:C8">
    <cfRule type="colorScale" priority="16">
      <colorScale>
        <cfvo type="formula" val="1"/>
        <cfvo type="formula" val="2.5"/>
        <cfvo type="formula" val="4"/>
        <color rgb="FF6DCC32"/>
        <color rgb="FFFFE600"/>
        <color rgb="FFC00000"/>
      </colorScale>
    </cfRule>
  </conditionalFormatting>
  <conditionalFormatting sqref="D3:D8">
    <cfRule type="colorScale" priority="17">
      <colorScale>
        <cfvo type="formula" val="1"/>
        <cfvo type="formula" val="2.5"/>
        <cfvo type="formula" val="4"/>
        <color rgb="FF6DCC32"/>
        <color rgb="FFFFE600"/>
        <color rgb="FFC00000"/>
      </colorScale>
    </cfRule>
  </conditionalFormatting>
  <conditionalFormatting sqref="E3:E8">
    <cfRule type="colorScale" priority="18">
      <colorScale>
        <cfvo type="formula" val="1"/>
        <cfvo type="formula" val="8.5"/>
        <cfvo type="formula" val="16"/>
        <color rgb="FF6DCC32"/>
        <color rgb="FFFFE600"/>
        <color rgb="FFC00000"/>
      </colorScale>
    </cfRule>
  </conditionalFormatting>
  <dataValidations count="6">
    <dataValidation type="decimal" allowBlank="1" showInputMessage="1" showErrorMessage="1" prompt="Please enter a rating (1-3)" sqref="E3:E8 G14:G16 G45:G47 G76:G78 G107:G109 G138:G140" xr:uid="{00000000-0002-0000-0600-000000000000}">
      <formula1>1</formula1>
      <formula2>15</formula2>
    </dataValidation>
    <dataValidation type="list" allowBlank="1" showInputMessage="1" showErrorMessage="1" prompt="Please enter a rating (1-3)" sqref="E15 E46:E47 E77:E78 E108:E109 E139:E140" xr:uid="{00000000-0002-0000-0600-000001000000}">
      <formula1>"1,2,3"</formula1>
    </dataValidation>
    <dataValidation type="list" allowBlank="1" showInputMessage="1" showErrorMessage="1" prompt="Please enter a rating (1-5)" sqref="C15 C46 C77 C108 C139" xr:uid="{00000000-0002-0000-0600-000002000000}">
      <formula1>"1,2,3"</formula1>
    </dataValidation>
    <dataValidation type="list" allowBlank="1" showInputMessage="1" showErrorMessage="1" prompt="Please enter a rating (1-5)" sqref="C14 C45 C76 C107 C138" xr:uid="{00000000-0002-0000-0600-000003000000}">
      <formula1>"1,2,3,4"</formula1>
    </dataValidation>
    <dataValidation type="list" allowBlank="1" showInputMessage="1" showErrorMessage="1" prompt="Please enter a rating (1-3)" sqref="E14 E45 E76 E107 E138" xr:uid="{00000000-0002-0000-0600-000004000000}">
      <formula1>"1,2,3,4"</formula1>
    </dataValidation>
    <dataValidation type="list" allowBlank="1" showErrorMessage="1" sqref="C10" xr:uid="{00000000-0002-0000-0600-000005000000}">
      <formula1>$B$4:$B$8</formula1>
    </dataValidation>
  </dataValidations>
  <pageMargins left="0.7" right="0.7" top="0.75" bottom="0.75" header="0" footer="0"/>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25.40625" customWidth="1"/>
    <col min="7" max="7" width="13.6796875" customWidth="1"/>
    <col min="8" max="8" width="12.26953125" customWidth="1"/>
    <col min="9" max="9" width="13.6796875" customWidth="1"/>
    <col min="10" max="27" width="8.86328125" customWidth="1"/>
  </cols>
  <sheetData>
    <row r="1" spans="1:27" ht="13.5" customHeight="1">
      <c r="A1" s="50"/>
      <c r="B1" s="91" t="s">
        <v>22</v>
      </c>
      <c r="C1" s="83"/>
      <c r="D1" s="83"/>
      <c r="E1" s="83"/>
      <c r="F1" s="84"/>
      <c r="G1" s="66"/>
      <c r="H1" s="50"/>
      <c r="I1" s="50"/>
      <c r="J1" s="50"/>
      <c r="K1" s="50"/>
      <c r="L1" s="50"/>
      <c r="M1" s="50"/>
      <c r="N1" s="50"/>
      <c r="O1" s="50"/>
      <c r="P1" s="50"/>
      <c r="Q1" s="50"/>
      <c r="R1" s="50"/>
      <c r="S1" s="50"/>
      <c r="T1" s="50"/>
      <c r="U1" s="50"/>
      <c r="V1" s="50"/>
      <c r="W1" s="50"/>
      <c r="X1" s="50"/>
      <c r="Y1" s="50"/>
      <c r="Z1" s="50"/>
      <c r="AA1" s="50"/>
    </row>
    <row r="2" spans="1:27" ht="13.5" customHeight="1">
      <c r="A2" s="14"/>
      <c r="B2" s="14"/>
      <c r="C2" s="60" t="s">
        <v>0</v>
      </c>
      <c r="D2" s="60" t="s">
        <v>1</v>
      </c>
      <c r="E2" s="60"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67">
        <f t="shared" ref="C3:D3" si="0">AVERAGE(C4:C8)</f>
        <v>1.3333333333333333</v>
      </c>
      <c r="D3" s="67">
        <f t="shared" si="0"/>
        <v>3</v>
      </c>
      <c r="E3" s="68">
        <f>ROUND(AVERAGE(E4:E8),0)</f>
        <v>4</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
        <v>23</v>
      </c>
      <c r="C4" s="69">
        <f>C14</f>
        <v>2</v>
      </c>
      <c r="D4" s="69">
        <f>E14</f>
        <v>3</v>
      </c>
      <c r="E4" s="28">
        <f t="shared" ref="E4:E6" si="1">C4*D4</f>
        <v>6</v>
      </c>
      <c r="F4" s="71">
        <v>1</v>
      </c>
      <c r="G4" s="14"/>
      <c r="H4" s="14"/>
      <c r="I4" s="14"/>
      <c r="J4" s="14"/>
      <c r="K4" s="14"/>
      <c r="L4" s="14"/>
      <c r="M4" s="14"/>
      <c r="N4" s="14"/>
      <c r="O4" s="14"/>
      <c r="P4" s="14"/>
      <c r="Q4" s="14"/>
      <c r="R4" s="14"/>
      <c r="S4" s="14"/>
      <c r="T4" s="14"/>
      <c r="U4" s="14"/>
      <c r="V4" s="14"/>
      <c r="W4" s="14"/>
      <c r="X4" s="14"/>
      <c r="Y4" s="14"/>
      <c r="Z4" s="14"/>
      <c r="AA4" s="14"/>
    </row>
    <row r="5" spans="1:27" ht="13.5" customHeight="1">
      <c r="A5" s="14"/>
      <c r="B5" s="14" t="s">
        <v>24</v>
      </c>
      <c r="C5" s="69">
        <f>C45</f>
        <v>1</v>
      </c>
      <c r="D5" s="69">
        <f>E45</f>
        <v>2</v>
      </c>
      <c r="E5" s="28">
        <f t="shared" si="1"/>
        <v>2</v>
      </c>
      <c r="F5" s="71">
        <v>2</v>
      </c>
      <c r="G5" s="14"/>
      <c r="H5" s="14"/>
      <c r="I5" s="14"/>
      <c r="J5" s="14"/>
      <c r="K5" s="14"/>
      <c r="L5" s="14"/>
      <c r="M5" s="14"/>
      <c r="N5" s="14"/>
      <c r="O5" s="14"/>
      <c r="P5" s="14"/>
      <c r="Q5" s="14"/>
      <c r="R5" s="14"/>
      <c r="S5" s="14"/>
      <c r="T5" s="14"/>
      <c r="U5" s="14"/>
      <c r="V5" s="14"/>
      <c r="W5" s="14"/>
      <c r="X5" s="14"/>
      <c r="Y5" s="14"/>
      <c r="Z5" s="14"/>
      <c r="AA5" s="14"/>
    </row>
    <row r="6" spans="1:27" ht="13.5" customHeight="1">
      <c r="A6" s="14"/>
      <c r="B6" s="14" t="s">
        <v>25</v>
      </c>
      <c r="C6" s="69">
        <f>C76</f>
        <v>1</v>
      </c>
      <c r="D6" s="69">
        <f>E76</f>
        <v>4</v>
      </c>
      <c r="E6" s="28">
        <f t="shared" si="1"/>
        <v>4</v>
      </c>
      <c r="F6" s="71">
        <v>3</v>
      </c>
      <c r="G6" s="14"/>
      <c r="H6" s="14"/>
      <c r="I6" s="14"/>
      <c r="J6" s="14"/>
      <c r="K6" s="14"/>
      <c r="L6" s="14"/>
      <c r="M6" s="14"/>
      <c r="N6" s="14"/>
      <c r="O6" s="14"/>
      <c r="P6" s="14"/>
      <c r="Q6" s="14"/>
      <c r="R6" s="14"/>
      <c r="S6" s="14"/>
      <c r="T6" s="14"/>
      <c r="U6" s="14"/>
      <c r="V6" s="14"/>
      <c r="W6" s="14"/>
      <c r="X6" s="14"/>
      <c r="Y6" s="14"/>
      <c r="Z6" s="14"/>
      <c r="AA6" s="14"/>
    </row>
    <row r="7" spans="1:27" ht="13.5" customHeight="1">
      <c r="A7" s="14"/>
      <c r="B7" s="14"/>
      <c r="C7" s="74"/>
      <c r="D7" s="74"/>
      <c r="E7" s="75"/>
      <c r="F7" s="71"/>
      <c r="G7" s="14"/>
      <c r="H7" s="14"/>
      <c r="I7" s="14"/>
      <c r="J7" s="14"/>
      <c r="K7" s="14"/>
      <c r="L7" s="14"/>
      <c r="M7" s="14"/>
      <c r="N7" s="14"/>
      <c r="O7" s="14"/>
      <c r="P7" s="14"/>
      <c r="Q7" s="14"/>
      <c r="R7" s="14"/>
      <c r="S7" s="14"/>
      <c r="T7" s="14"/>
      <c r="U7" s="14"/>
      <c r="V7" s="14"/>
      <c r="W7" s="14"/>
      <c r="X7" s="14"/>
      <c r="Y7" s="14"/>
      <c r="Z7" s="14"/>
      <c r="AA7" s="14"/>
    </row>
    <row r="8" spans="1:27" ht="13.5" customHeight="1">
      <c r="A8" s="14"/>
      <c r="B8" s="14"/>
      <c r="C8" s="76"/>
      <c r="D8" s="76"/>
      <c r="E8" s="76"/>
      <c r="F8" s="71"/>
      <c r="G8" s="14"/>
      <c r="H8" s="14"/>
      <c r="I8" s="14"/>
      <c r="J8" s="14"/>
      <c r="K8" s="14"/>
      <c r="L8" s="14"/>
      <c r="M8" s="14"/>
      <c r="N8" s="14"/>
      <c r="O8" s="14"/>
      <c r="P8" s="14"/>
      <c r="Q8" s="14"/>
      <c r="R8" s="14"/>
      <c r="S8" s="14"/>
      <c r="T8" s="14"/>
      <c r="U8" s="14"/>
      <c r="V8" s="14"/>
      <c r="W8" s="14"/>
      <c r="X8" s="14"/>
      <c r="Y8" s="14"/>
      <c r="Z8" s="14"/>
      <c r="AA8" s="14"/>
    </row>
    <row r="9" spans="1:27" ht="13.5"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71">
        <f>VLOOKUP(C10,B4:F8,5,FALSE)</f>
        <v>2</v>
      </c>
      <c r="B10" s="50" t="s">
        <v>171</v>
      </c>
      <c r="C10" s="53" t="s">
        <v>24</v>
      </c>
      <c r="D10" s="70" t="s">
        <v>172</v>
      </c>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row>
    <row r="12" spans="1:27" ht="13.5" hidden="1" customHeight="1">
      <c r="A12" s="14"/>
      <c r="B12" s="55" t="str">
        <f>B4</f>
        <v>Digital Enterprise</v>
      </c>
      <c r="C12" s="56"/>
      <c r="D12" s="56"/>
      <c r="E12" s="56"/>
      <c r="F12" s="56"/>
      <c r="G12" s="56"/>
      <c r="H12" s="14"/>
      <c r="I12" s="14"/>
      <c r="J12" s="14"/>
      <c r="K12" s="14"/>
      <c r="L12" s="14"/>
      <c r="M12" s="14"/>
      <c r="N12" s="14"/>
      <c r="O12" s="14"/>
      <c r="P12" s="14"/>
      <c r="Q12" s="14"/>
      <c r="R12" s="14"/>
      <c r="S12" s="14"/>
      <c r="T12" s="14"/>
      <c r="U12" s="14"/>
      <c r="V12" s="14"/>
      <c r="W12" s="14"/>
      <c r="X12" s="14"/>
      <c r="Y12" s="14"/>
      <c r="Z12" s="14"/>
      <c r="AA12" s="14"/>
    </row>
    <row r="13" spans="1:27" ht="13.5" hidden="1"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row>
    <row r="14" spans="1:27" ht="13.5" hidden="1" customHeight="1">
      <c r="A14" s="14"/>
      <c r="B14" s="57" t="s">
        <v>0</v>
      </c>
      <c r="C14" s="58">
        <v>2</v>
      </c>
      <c r="D14" s="59" t="s">
        <v>1</v>
      </c>
      <c r="E14" s="58">
        <v>3</v>
      </c>
      <c r="F14" s="57" t="s">
        <v>2</v>
      </c>
      <c r="G14" s="58">
        <f>C14*E14</f>
        <v>6</v>
      </c>
      <c r="H14" s="14"/>
      <c r="I14" s="14"/>
      <c r="J14" s="14"/>
      <c r="K14" s="14"/>
      <c r="L14" s="14"/>
      <c r="M14" s="14"/>
      <c r="N14" s="14"/>
      <c r="O14" s="14"/>
      <c r="P14" s="14"/>
      <c r="Q14" s="14"/>
      <c r="R14" s="14"/>
      <c r="S14" s="14"/>
      <c r="T14" s="14"/>
      <c r="U14" s="14"/>
      <c r="V14" s="14"/>
      <c r="W14" s="14"/>
      <c r="X14" s="14"/>
      <c r="Y14" s="14"/>
      <c r="Z14" s="14"/>
      <c r="AA14" s="14"/>
    </row>
    <row r="15" spans="1:27" ht="13.5" hidden="1" customHeight="1">
      <c r="A15" s="14"/>
      <c r="B15" s="14"/>
      <c r="C15" s="14"/>
      <c r="D15" s="60"/>
      <c r="E15" s="14"/>
      <c r="F15" s="14"/>
      <c r="G15" s="14"/>
      <c r="H15" s="14"/>
      <c r="I15" s="14"/>
      <c r="J15" s="14"/>
      <c r="K15" s="14"/>
      <c r="L15" s="14"/>
      <c r="M15" s="14"/>
      <c r="N15" s="14"/>
      <c r="O15" s="14"/>
      <c r="P15" s="14"/>
      <c r="Q15" s="14"/>
      <c r="R15" s="14"/>
      <c r="S15" s="14"/>
      <c r="T15" s="14"/>
      <c r="U15" s="14"/>
      <c r="V15" s="14"/>
      <c r="W15" s="14"/>
      <c r="X15" s="14"/>
      <c r="Y15" s="14"/>
      <c r="Z15" s="14"/>
      <c r="AA15" s="14"/>
    </row>
    <row r="16" spans="1:27" ht="13.5" hidden="1" customHeight="1">
      <c r="A16" s="14"/>
      <c r="B16" s="89" t="s">
        <v>0</v>
      </c>
      <c r="C16" s="84"/>
      <c r="D16" s="92" t="s">
        <v>1</v>
      </c>
      <c r="E16" s="93"/>
      <c r="F16" s="14"/>
      <c r="G16" s="14"/>
      <c r="H16" s="14"/>
      <c r="I16" s="14"/>
      <c r="J16" s="14"/>
      <c r="K16" s="14"/>
      <c r="L16" s="14"/>
      <c r="M16" s="14"/>
      <c r="N16" s="14"/>
      <c r="O16" s="14"/>
      <c r="P16" s="14"/>
      <c r="Q16" s="14"/>
      <c r="R16" s="14"/>
      <c r="S16" s="14"/>
      <c r="T16" s="14"/>
      <c r="U16" s="14"/>
      <c r="V16" s="14"/>
      <c r="W16" s="14"/>
      <c r="X16" s="14"/>
      <c r="Y16" s="14"/>
      <c r="Z16" s="14"/>
      <c r="AA16" s="14"/>
    </row>
    <row r="17" spans="1:27" ht="155.25" hidden="1" customHeight="1">
      <c r="A17" s="14"/>
      <c r="B17" s="94" t="str">
        <f>VLOOKUP(C14,Instructions!B48:E51,1+MATCH(B12,Instructions!C47:E47,FALSE))</f>
        <v>▪ Key digital technologies are leveraged to support the existing business model.
▪ The business uses digital technologies to identify trends and impact market information.
▪ Innovation is limited to certain business functions.
▪ The organization waits to adopt new and emerging technologies until they are proven.
▪ The enterprise values data within the organization but uses external data in a restricted way</v>
      </c>
      <c r="C17" s="95"/>
      <c r="D17" s="96" t="str">
        <f>VLOOKUP(E14,Instructions!B8:C11,2,FALSE)</f>
        <v>▪ This aspect of the business is of neutral importance to the success of the business</v>
      </c>
      <c r="E17" s="97"/>
      <c r="F17" s="14"/>
      <c r="G17" s="14"/>
      <c r="H17" s="14"/>
      <c r="I17" s="14"/>
      <c r="J17" s="14"/>
      <c r="K17" s="14"/>
      <c r="L17" s="14"/>
      <c r="M17" s="14"/>
      <c r="N17" s="14"/>
      <c r="O17" s="14"/>
      <c r="P17" s="14"/>
      <c r="Q17" s="14"/>
      <c r="R17" s="14"/>
      <c r="S17" s="14"/>
      <c r="T17" s="14"/>
      <c r="U17" s="14"/>
      <c r="V17" s="14"/>
      <c r="W17" s="14"/>
      <c r="X17" s="14"/>
      <c r="Y17" s="14"/>
      <c r="Z17" s="14"/>
      <c r="AA17" s="14"/>
    </row>
    <row r="18" spans="1:27" ht="13.5" hidden="1"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row>
    <row r="19" spans="1:27" ht="13.5" hidden="1" customHeight="1">
      <c r="A19" s="14"/>
      <c r="B19" s="61" t="s">
        <v>173</v>
      </c>
      <c r="C19" s="62"/>
      <c r="D19" s="62"/>
      <c r="E19" s="62"/>
      <c r="F19" s="62"/>
      <c r="G19" s="62"/>
      <c r="H19" s="14"/>
      <c r="I19" s="14"/>
      <c r="J19" s="14"/>
      <c r="K19" s="14"/>
      <c r="L19" s="14"/>
      <c r="M19" s="14"/>
      <c r="N19" s="14"/>
      <c r="O19" s="14"/>
      <c r="P19" s="14"/>
      <c r="Q19" s="14"/>
      <c r="R19" s="14"/>
      <c r="S19" s="14"/>
      <c r="T19" s="14"/>
      <c r="U19" s="14"/>
      <c r="V19" s="14"/>
      <c r="W19" s="14"/>
      <c r="X19" s="14"/>
      <c r="Y19" s="14"/>
      <c r="Z19" s="14"/>
      <c r="AA19" s="14"/>
    </row>
    <row r="20" spans="1:27" ht="13.5" hidden="1" customHeight="1">
      <c r="A20" s="14"/>
      <c r="B20" s="63"/>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hidden="1" customHeight="1">
      <c r="A21" s="14"/>
      <c r="B21" s="63"/>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hidden="1" customHeight="1">
      <c r="A22" s="14"/>
      <c r="B22" s="63"/>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hidden="1" customHeight="1">
      <c r="A23" s="14"/>
      <c r="B23" s="63"/>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hidden="1" customHeight="1">
      <c r="A24" s="14"/>
      <c r="B24" s="63"/>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hidden="1" customHeight="1">
      <c r="A25" s="14"/>
      <c r="B25" s="63"/>
      <c r="C25" s="1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hidden="1"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hidden="1" customHeight="1">
      <c r="A27" s="14"/>
      <c r="B27" s="14"/>
      <c r="C27" s="64"/>
      <c r="D27" s="14"/>
      <c r="E27" s="14"/>
      <c r="F27" s="14"/>
      <c r="G27" s="14"/>
      <c r="H27" s="14"/>
      <c r="I27" s="14"/>
      <c r="J27" s="14"/>
      <c r="K27" s="14"/>
      <c r="L27" s="14"/>
      <c r="M27" s="14"/>
      <c r="N27" s="14"/>
      <c r="O27" s="14"/>
      <c r="P27" s="14"/>
      <c r="Q27" s="14"/>
      <c r="R27" s="14"/>
      <c r="S27" s="14"/>
      <c r="T27" s="14"/>
      <c r="U27" s="14"/>
      <c r="V27" s="14"/>
      <c r="W27" s="14"/>
      <c r="X27" s="14"/>
      <c r="Y27" s="14"/>
      <c r="Z27" s="14"/>
      <c r="AA27" s="14"/>
    </row>
    <row r="28" spans="1:27" ht="13.5" hidden="1" customHeight="1">
      <c r="A28" s="14"/>
      <c r="B28" s="61" t="s">
        <v>181</v>
      </c>
      <c r="C28" s="62"/>
      <c r="D28" s="62"/>
      <c r="E28" s="62"/>
      <c r="F28" s="62"/>
      <c r="G28" s="62"/>
      <c r="H28" s="14"/>
      <c r="I28" s="14"/>
      <c r="J28" s="14"/>
      <c r="K28" s="14"/>
      <c r="L28" s="14"/>
      <c r="M28" s="14"/>
      <c r="N28" s="14"/>
      <c r="O28" s="14"/>
      <c r="P28" s="14"/>
      <c r="Q28" s="14"/>
      <c r="R28" s="14"/>
      <c r="S28" s="14"/>
      <c r="T28" s="14"/>
      <c r="U28" s="14"/>
      <c r="V28" s="14"/>
      <c r="W28" s="14"/>
      <c r="X28" s="14"/>
      <c r="Y28" s="14"/>
      <c r="Z28" s="14"/>
      <c r="AA28" s="14"/>
    </row>
    <row r="29" spans="1:27" ht="13.5" hidden="1"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hidden="1"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hidden="1"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hidden="1"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hidden="1"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hidden="1"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spans="1:27" ht="13.5" hidden="1" customHeight="1">
      <c r="A35" s="14"/>
      <c r="B35" s="61" t="s">
        <v>182</v>
      </c>
      <c r="C35" s="62"/>
      <c r="D35" s="62"/>
      <c r="E35" s="62"/>
      <c r="F35" s="62"/>
      <c r="G35" s="62"/>
      <c r="H35" s="14"/>
      <c r="I35" s="14"/>
      <c r="J35" s="14"/>
      <c r="K35" s="14"/>
      <c r="L35" s="14"/>
      <c r="M35" s="14"/>
      <c r="N35" s="14"/>
      <c r="O35" s="14"/>
      <c r="P35" s="14"/>
      <c r="Q35" s="14"/>
      <c r="R35" s="14"/>
      <c r="S35" s="14"/>
      <c r="T35" s="14"/>
      <c r="U35" s="14"/>
      <c r="V35" s="14"/>
      <c r="W35" s="14"/>
      <c r="X35" s="14"/>
      <c r="Y35" s="14"/>
      <c r="Z35" s="14"/>
      <c r="AA35" s="14"/>
    </row>
    <row r="36" spans="1:27" ht="13.5" hidden="1"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hidden="1"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hidden="1" customHeight="1">
      <c r="A38" s="14"/>
      <c r="B38" s="50"/>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hidden="1"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hidden="1"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hidden="1" customHeight="1">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row>
    <row r="42" spans="1:27" ht="13.5" hidden="1" customHeight="1">
      <c r="A42" s="14"/>
      <c r="B42" s="56" t="s">
        <v>183</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customHeight="1">
      <c r="A43" s="14"/>
      <c r="B43" s="55" t="str">
        <f>B5</f>
        <v>Data and Analytics</v>
      </c>
      <c r="C43" s="56"/>
      <c r="D43" s="56"/>
      <c r="E43" s="56"/>
      <c r="F43" s="56"/>
      <c r="G43" s="56"/>
      <c r="H43" s="14"/>
      <c r="I43" s="14"/>
      <c r="J43" s="14"/>
      <c r="K43" s="14"/>
      <c r="L43" s="14"/>
      <c r="M43" s="14"/>
      <c r="N43" s="14"/>
      <c r="O43" s="14"/>
      <c r="P43" s="14"/>
      <c r="Q43" s="14"/>
      <c r="R43" s="14"/>
      <c r="S43" s="14"/>
      <c r="T43" s="14"/>
      <c r="U43" s="14"/>
      <c r="V43" s="14"/>
      <c r="W43" s="14"/>
      <c r="X43" s="14"/>
      <c r="Y43" s="14"/>
      <c r="Z43" s="14"/>
      <c r="AA43" s="14"/>
    </row>
    <row r="44" spans="1:27" ht="13.5" customHeight="1">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row>
    <row r="45" spans="1:27" ht="13.5" customHeight="1">
      <c r="A45" s="14"/>
      <c r="B45" s="57" t="s">
        <v>0</v>
      </c>
      <c r="C45" s="58">
        <v>1</v>
      </c>
      <c r="D45" s="59" t="s">
        <v>1</v>
      </c>
      <c r="E45" s="58">
        <v>2</v>
      </c>
      <c r="F45" s="57" t="s">
        <v>2</v>
      </c>
      <c r="G45" s="58">
        <f>C45*E45</f>
        <v>2</v>
      </c>
      <c r="H45" s="14"/>
      <c r="I45" s="14"/>
      <c r="J45" s="14"/>
      <c r="K45" s="14"/>
      <c r="L45" s="14"/>
      <c r="M45" s="14"/>
      <c r="N45" s="14"/>
      <c r="O45" s="14"/>
      <c r="P45" s="14"/>
      <c r="Q45" s="14"/>
      <c r="R45" s="14"/>
      <c r="S45" s="14"/>
      <c r="T45" s="14"/>
      <c r="U45" s="14"/>
      <c r="V45" s="14"/>
      <c r="W45" s="14"/>
      <c r="X45" s="14"/>
      <c r="Y45" s="14"/>
      <c r="Z45" s="14"/>
      <c r="AA45" s="14"/>
    </row>
    <row r="46" spans="1:27" ht="13.5" customHeight="1">
      <c r="A46" s="14"/>
      <c r="B46" s="14"/>
      <c r="C46" s="1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13.5" customHeight="1">
      <c r="A47" s="14"/>
      <c r="B47" s="89" t="s">
        <v>0</v>
      </c>
      <c r="C47" s="84"/>
      <c r="D47" s="60"/>
      <c r="E47" s="14"/>
      <c r="F47" s="14"/>
      <c r="G47" s="14"/>
      <c r="H47" s="14"/>
      <c r="I47" s="14"/>
      <c r="J47" s="14"/>
      <c r="K47" s="14"/>
      <c r="L47" s="14"/>
      <c r="M47" s="14"/>
      <c r="N47" s="14"/>
      <c r="O47" s="14"/>
      <c r="P47" s="14"/>
      <c r="Q47" s="14"/>
      <c r="R47" s="14"/>
      <c r="S47" s="14"/>
      <c r="T47" s="14"/>
      <c r="U47" s="14"/>
      <c r="V47" s="14"/>
      <c r="W47" s="14"/>
      <c r="X47" s="14"/>
      <c r="Y47" s="14"/>
      <c r="Z47" s="14"/>
      <c r="AA47" s="14"/>
    </row>
    <row r="48" spans="1:27" ht="153" customHeight="1">
      <c r="A48" s="14"/>
      <c r="B48" s="88" t="str">
        <f>VLOOKUP(C45,Instructions!B48:E51,1+MATCH(B43,Instructions!C47:E47,FALSE))</f>
        <v xml:space="preserve">▪ The business has a data-driven culture where the use of techniques that fully leverage the internal and external data within the firm drive decision making.
▪ The business leverages advanced analytic techniques and big data to drive a competitive advantage.
▪ There is a culture and approach to experimentation through analytics that influences decisions making across the business.
</v>
      </c>
      <c r="C48" s="84"/>
      <c r="D48" s="90" t="str">
        <f>VLOOKUP(E45,Instructions!B8:C11,2,FALSE)</f>
        <v>▪ This aspect of the business is not critical to the success of the business</v>
      </c>
      <c r="E48" s="84"/>
      <c r="F48" s="14"/>
      <c r="G48" s="14"/>
      <c r="H48" s="14"/>
      <c r="I48" s="14"/>
      <c r="J48" s="14"/>
      <c r="K48" s="14"/>
      <c r="L48" s="14"/>
      <c r="M48" s="14"/>
      <c r="N48" s="14"/>
      <c r="O48" s="14"/>
      <c r="P48" s="14"/>
      <c r="Q48" s="14"/>
      <c r="R48" s="14"/>
      <c r="S48" s="14"/>
      <c r="T48" s="14"/>
      <c r="U48" s="14"/>
      <c r="V48" s="14"/>
      <c r="W48" s="14"/>
      <c r="X48" s="14"/>
      <c r="Y48" s="14"/>
      <c r="Z48" s="14"/>
      <c r="AA48" s="14"/>
    </row>
    <row r="49" spans="1:27" ht="13.5"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row>
    <row r="50" spans="1:27" ht="13.5" customHeight="1">
      <c r="A50" s="14"/>
      <c r="B50" s="61" t="s">
        <v>173</v>
      </c>
      <c r="C50" s="62"/>
      <c r="D50" s="62"/>
      <c r="E50" s="62"/>
      <c r="F50" s="62"/>
      <c r="G50" s="62"/>
      <c r="H50" s="14"/>
      <c r="I50" s="14"/>
      <c r="J50" s="14"/>
      <c r="K50" s="14"/>
      <c r="L50" s="14"/>
      <c r="M50" s="14"/>
      <c r="N50" s="14"/>
      <c r="O50" s="14"/>
      <c r="P50" s="14"/>
      <c r="Q50" s="14"/>
      <c r="R50" s="14"/>
      <c r="S50" s="14"/>
      <c r="T50" s="14"/>
      <c r="U50" s="14"/>
      <c r="V50" s="14"/>
      <c r="W50" s="14"/>
      <c r="X50" s="14"/>
      <c r="Y50" s="14"/>
      <c r="Z50" s="14"/>
      <c r="AA50" s="14"/>
    </row>
    <row r="51" spans="1:27" ht="13.5" customHeight="1">
      <c r="A51" s="14"/>
      <c r="B51" s="63"/>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customHeight="1">
      <c r="A52" s="14"/>
      <c r="B52" s="63"/>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customHeight="1">
      <c r="A53" s="14"/>
      <c r="B53" s="63"/>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customHeight="1">
      <c r="A54" s="14"/>
      <c r="B54" s="63"/>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customHeight="1">
      <c r="A55" s="14"/>
      <c r="B55" s="63"/>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customHeight="1">
      <c r="A56" s="14"/>
      <c r="B56" s="63"/>
      <c r="C56" s="1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customHeight="1">
      <c r="A58" s="14"/>
      <c r="B58" s="14"/>
      <c r="C58" s="64"/>
      <c r="D58" s="14"/>
      <c r="E58" s="14"/>
      <c r="F58" s="14"/>
      <c r="G58" s="14"/>
      <c r="H58" s="14"/>
      <c r="I58" s="14"/>
      <c r="J58" s="14"/>
      <c r="K58" s="14"/>
      <c r="L58" s="14"/>
      <c r="M58" s="14"/>
      <c r="N58" s="14"/>
      <c r="O58" s="14"/>
      <c r="P58" s="14"/>
      <c r="Q58" s="14"/>
      <c r="R58" s="14"/>
      <c r="S58" s="14"/>
      <c r="T58" s="14"/>
      <c r="U58" s="14"/>
      <c r="V58" s="14"/>
      <c r="W58" s="14"/>
      <c r="X58" s="14"/>
      <c r="Y58" s="14"/>
      <c r="Z58" s="14"/>
      <c r="AA58" s="14"/>
    </row>
    <row r="59" spans="1:27" ht="13.5" customHeight="1">
      <c r="A59" s="14"/>
      <c r="B59" s="61" t="s">
        <v>181</v>
      </c>
      <c r="C59" s="62"/>
      <c r="D59" s="62"/>
      <c r="E59" s="62"/>
      <c r="F59" s="62"/>
      <c r="G59" s="62"/>
      <c r="H59" s="14"/>
      <c r="I59" s="14"/>
      <c r="J59" s="14"/>
      <c r="K59" s="14"/>
      <c r="L59" s="14"/>
      <c r="M59" s="14"/>
      <c r="N59" s="14"/>
      <c r="O59" s="14"/>
      <c r="P59" s="14"/>
      <c r="Q59" s="14"/>
      <c r="R59" s="14"/>
      <c r="S59" s="14"/>
      <c r="T59" s="14"/>
      <c r="U59" s="14"/>
      <c r="V59" s="14"/>
      <c r="W59" s="14"/>
      <c r="X59" s="14"/>
      <c r="Y59" s="14"/>
      <c r="Z59" s="14"/>
      <c r="AA59" s="14"/>
    </row>
    <row r="60" spans="1:27" ht="13.5"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spans="1:27" ht="13.5" customHeight="1">
      <c r="A66" s="14"/>
      <c r="B66" s="61" t="s">
        <v>182</v>
      </c>
      <c r="C66" s="62"/>
      <c r="D66" s="62"/>
      <c r="E66" s="62"/>
      <c r="F66" s="62"/>
      <c r="G66" s="62"/>
      <c r="H66" s="14"/>
      <c r="I66" s="14"/>
      <c r="J66" s="14"/>
      <c r="K66" s="14"/>
      <c r="L66" s="14"/>
      <c r="M66" s="14"/>
      <c r="N66" s="14"/>
      <c r="O66" s="14"/>
      <c r="P66" s="14"/>
      <c r="Q66" s="14"/>
      <c r="R66" s="14"/>
      <c r="S66" s="14"/>
      <c r="T66" s="14"/>
      <c r="U66" s="14"/>
      <c r="V66" s="14"/>
      <c r="W66" s="14"/>
      <c r="X66" s="14"/>
      <c r="Y66" s="14"/>
      <c r="Z66" s="14"/>
      <c r="AA66" s="14"/>
    </row>
    <row r="67" spans="1:27" ht="13.5"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customHeight="1">
      <c r="A69" s="14"/>
      <c r="B69" s="50"/>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spans="1:27" ht="13.5" customHeight="1">
      <c r="A73" s="14"/>
      <c r="B73" s="56" t="s">
        <v>183</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55" t="str">
        <f>B6</f>
        <v>Security and Privacy</v>
      </c>
      <c r="C74" s="56"/>
      <c r="D74" s="56"/>
      <c r="E74" s="56"/>
      <c r="F74" s="56"/>
      <c r="G74" s="56"/>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57" t="s">
        <v>0</v>
      </c>
      <c r="C76" s="58">
        <v>1</v>
      </c>
      <c r="D76" s="59" t="s">
        <v>1</v>
      </c>
      <c r="E76" s="58">
        <v>4</v>
      </c>
      <c r="F76" s="57" t="s">
        <v>2</v>
      </c>
      <c r="G76" s="58">
        <f>C76*E76</f>
        <v>4</v>
      </c>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14"/>
      <c r="C77" s="1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13.5" hidden="1" customHeight="1">
      <c r="A78" s="14"/>
      <c r="B78" s="89" t="s">
        <v>0</v>
      </c>
      <c r="C78" s="84"/>
      <c r="D78" s="60"/>
      <c r="E78" s="14"/>
      <c r="F78" s="14"/>
      <c r="G78" s="14"/>
      <c r="H78" s="14"/>
      <c r="I78" s="14"/>
      <c r="J78" s="14"/>
      <c r="K78" s="14"/>
      <c r="L78" s="14"/>
      <c r="M78" s="14"/>
      <c r="N78" s="14"/>
      <c r="O78" s="14"/>
      <c r="P78" s="14"/>
      <c r="Q78" s="14"/>
      <c r="R78" s="14"/>
      <c r="S78" s="14"/>
      <c r="T78" s="14"/>
      <c r="U78" s="14"/>
      <c r="V78" s="14"/>
      <c r="W78" s="14"/>
      <c r="X78" s="14"/>
      <c r="Y78" s="14"/>
      <c r="Z78" s="14"/>
      <c r="AA78" s="14"/>
    </row>
    <row r="79" spans="1:27" ht="159" hidden="1" customHeight="1">
      <c r="A79" s="14"/>
      <c r="B79" s="88" t="str">
        <f>VLOOKUP(C76,Instructions!B48:E51,1+MATCH(B74,Instructions!C47:E47,FALSE))</f>
        <v>▪ Security is viewed as a critical component of the company's overall risk management.
▪ Security and primary strategies are driven by protection of the most critical digital assets and support of business growth drivers.
▪ Security efforts follow an active defense approach with proactive identification of issues driven from inside the company and consumption of external, sector relevant threat intelligence.
▪ The focus is on operating a resilient security and privacy capability.</v>
      </c>
      <c r="C79" s="84"/>
      <c r="D79" s="90" t="str">
        <f>VLOOKUP(E76,Instructions!B8:C11,2,FALSE)</f>
        <v>▪ This aspect of the business is critical to the success of the business</v>
      </c>
      <c r="E79" s="8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1" t="s">
        <v>173</v>
      </c>
      <c r="C81" s="62"/>
      <c r="D81" s="62"/>
      <c r="E81" s="62"/>
      <c r="F81" s="62"/>
      <c r="G81" s="62"/>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63"/>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63"/>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14"/>
      <c r="C89" s="64"/>
      <c r="D89" s="14"/>
      <c r="E89" s="14"/>
      <c r="F89" s="14"/>
      <c r="G89" s="14"/>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61" t="s">
        <v>181</v>
      </c>
      <c r="C90" s="62"/>
      <c r="D90" s="62"/>
      <c r="E90" s="62"/>
      <c r="F90" s="62"/>
      <c r="G90" s="62"/>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61" t="s">
        <v>182</v>
      </c>
      <c r="C97" s="62"/>
      <c r="D97" s="62"/>
      <c r="E97" s="62"/>
      <c r="F97" s="62"/>
      <c r="G97" s="62"/>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50"/>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6" t="s">
        <v>183</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hidden="1" customHeight="1">
      <c r="A105" s="14"/>
      <c r="B105" s="55">
        <f>B7</f>
        <v>0</v>
      </c>
      <c r="C105" s="56"/>
      <c r="D105" s="56"/>
      <c r="E105" s="56"/>
      <c r="F105" s="56"/>
      <c r="G105" s="56"/>
      <c r="H105" s="14"/>
      <c r="I105" s="14"/>
      <c r="J105" s="14"/>
      <c r="K105" s="14"/>
      <c r="L105" s="14"/>
      <c r="M105" s="14"/>
      <c r="N105" s="14"/>
      <c r="O105" s="14"/>
      <c r="P105" s="14"/>
      <c r="Q105" s="14"/>
      <c r="R105" s="14"/>
      <c r="S105" s="14"/>
      <c r="T105" s="14"/>
      <c r="U105" s="14"/>
      <c r="V105" s="14"/>
      <c r="W105" s="14"/>
      <c r="X105" s="14"/>
      <c r="Y105" s="14"/>
      <c r="Z105" s="14"/>
      <c r="AA105" s="14"/>
    </row>
    <row r="106" spans="1:27" ht="13.5" hidden="1"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spans="1:27" ht="13.5" hidden="1" customHeight="1">
      <c r="A107" s="14"/>
      <c r="B107" s="57" t="s">
        <v>0</v>
      </c>
      <c r="C107" s="58">
        <v>3</v>
      </c>
      <c r="D107" s="59" t="s">
        <v>1</v>
      </c>
      <c r="E107" s="58">
        <v>3</v>
      </c>
      <c r="F107" s="57" t="s">
        <v>2</v>
      </c>
      <c r="G107" s="58">
        <f>C107*E107</f>
        <v>9</v>
      </c>
      <c r="H107" s="14"/>
      <c r="I107" s="14"/>
      <c r="J107" s="14"/>
      <c r="K107" s="14"/>
      <c r="L107" s="14"/>
      <c r="M107" s="14"/>
      <c r="N107" s="14"/>
      <c r="O107" s="14"/>
      <c r="P107" s="14"/>
      <c r="Q107" s="14"/>
      <c r="R107" s="14"/>
      <c r="S107" s="14"/>
      <c r="T107" s="14"/>
      <c r="U107" s="14"/>
      <c r="V107" s="14"/>
      <c r="W107" s="14"/>
      <c r="X107" s="14"/>
      <c r="Y107" s="14"/>
      <c r="Z107" s="14"/>
      <c r="AA107" s="14"/>
    </row>
    <row r="108" spans="1:27" ht="13.5" hidden="1" customHeight="1">
      <c r="A108" s="14"/>
      <c r="B108" s="14"/>
      <c r="C108" s="14"/>
      <c r="D108" s="60"/>
      <c r="E108" s="14"/>
      <c r="F108" s="14"/>
      <c r="G108" s="62"/>
      <c r="H108" s="14"/>
      <c r="I108" s="14"/>
      <c r="J108" s="14"/>
      <c r="K108" s="14"/>
      <c r="L108" s="14"/>
      <c r="M108" s="14"/>
      <c r="N108" s="14"/>
      <c r="O108" s="14"/>
      <c r="P108" s="14"/>
      <c r="Q108" s="14"/>
      <c r="R108" s="14"/>
      <c r="S108" s="14"/>
      <c r="T108" s="14"/>
      <c r="U108" s="14"/>
      <c r="V108" s="14"/>
      <c r="W108" s="14"/>
      <c r="X108" s="14"/>
      <c r="Y108" s="14"/>
      <c r="Z108" s="14"/>
      <c r="AA108" s="14"/>
    </row>
    <row r="109" spans="1:27" ht="13.5" hidden="1" customHeight="1">
      <c r="A109" s="14"/>
      <c r="B109" s="89" t="s">
        <v>0</v>
      </c>
      <c r="C109" s="84"/>
      <c r="D109" s="60"/>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99" hidden="1" customHeight="1">
      <c r="A110" s="14"/>
      <c r="B110" s="88" t="e">
        <f>VLOOKUP(C107,Instructions!B42:G45,1+MATCH(B105,Instructions!C41:G41,FALSE))</f>
        <v>#N/A</v>
      </c>
      <c r="C110" s="84"/>
      <c r="D110" s="90" t="str">
        <f>VLOOKUP(E107,Instructions!B8:C11,2,FALSE)</f>
        <v>▪ This aspect of the business is of neutral importance to the success of the business</v>
      </c>
      <c r="E110" s="8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hidden="1"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spans="1:27" ht="13.5" hidden="1" customHeight="1">
      <c r="A112" s="14"/>
      <c r="B112" s="61" t="s">
        <v>173</v>
      </c>
      <c r="C112" s="62"/>
      <c r="D112" s="62"/>
      <c r="E112" s="62"/>
      <c r="F112" s="62"/>
      <c r="G112" s="62"/>
      <c r="H112" s="14"/>
      <c r="I112" s="14"/>
      <c r="J112" s="14"/>
      <c r="K112" s="14"/>
      <c r="L112" s="14"/>
      <c r="M112" s="14"/>
      <c r="N112" s="14"/>
      <c r="O112" s="14"/>
      <c r="P112" s="14"/>
      <c r="Q112" s="14"/>
      <c r="R112" s="14"/>
      <c r="S112" s="14"/>
      <c r="T112" s="14"/>
      <c r="U112" s="14"/>
      <c r="V112" s="14"/>
      <c r="W112" s="14"/>
      <c r="X112" s="14"/>
      <c r="Y112" s="14"/>
      <c r="Z112" s="14"/>
      <c r="AA112" s="14"/>
    </row>
    <row r="113" spans="1:27" ht="13.5" hidden="1" customHeight="1">
      <c r="A113" s="14"/>
      <c r="B113" s="63"/>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hidden="1" customHeight="1">
      <c r="A114" s="14"/>
      <c r="B114" s="63"/>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hidden="1" customHeight="1">
      <c r="A115" s="14"/>
      <c r="B115" s="6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hidden="1" customHeight="1">
      <c r="A116" s="14"/>
      <c r="B116" s="63"/>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hidden="1" customHeight="1">
      <c r="A117" s="14"/>
      <c r="B117" s="63"/>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hidden="1" customHeight="1">
      <c r="A118" s="14"/>
      <c r="B118" s="63"/>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hidden="1"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hidden="1" customHeight="1">
      <c r="A120" s="14"/>
      <c r="B120" s="14"/>
      <c r="C120" s="6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spans="1:27" ht="13.5" hidden="1" customHeight="1">
      <c r="A121" s="14"/>
      <c r="B121" s="61" t="s">
        <v>181</v>
      </c>
      <c r="C121" s="62"/>
      <c r="D121" s="62"/>
      <c r="E121" s="62"/>
      <c r="F121" s="62"/>
      <c r="G121" s="62"/>
      <c r="H121" s="14"/>
      <c r="I121" s="14"/>
      <c r="J121" s="14"/>
      <c r="K121" s="14"/>
      <c r="L121" s="14"/>
      <c r="M121" s="14"/>
      <c r="N121" s="14"/>
      <c r="O121" s="14"/>
      <c r="P121" s="14"/>
      <c r="Q121" s="14"/>
      <c r="R121" s="14"/>
      <c r="S121" s="14"/>
      <c r="T121" s="14"/>
      <c r="U121" s="14"/>
      <c r="V121" s="14"/>
      <c r="W121" s="14"/>
      <c r="X121" s="14"/>
      <c r="Y121" s="14"/>
      <c r="Z121" s="14"/>
      <c r="AA121" s="14"/>
    </row>
    <row r="122" spans="1:27" ht="13.5" hidden="1"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hidden="1"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hidden="1"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hidden="1"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hidden="1"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hidden="1"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spans="1:27" ht="13.5" hidden="1" customHeight="1">
      <c r="A128" s="14"/>
      <c r="B128" s="61" t="s">
        <v>182</v>
      </c>
      <c r="C128" s="62"/>
      <c r="D128" s="62"/>
      <c r="E128" s="62"/>
      <c r="F128" s="62"/>
      <c r="G128" s="62"/>
      <c r="H128" s="14"/>
      <c r="I128" s="14"/>
      <c r="J128" s="14"/>
      <c r="K128" s="14"/>
      <c r="L128" s="14"/>
      <c r="M128" s="14"/>
      <c r="N128" s="14"/>
      <c r="O128" s="14"/>
      <c r="P128" s="14"/>
      <c r="Q128" s="14"/>
      <c r="R128" s="14"/>
      <c r="S128" s="14"/>
      <c r="T128" s="14"/>
      <c r="U128" s="14"/>
      <c r="V128" s="14"/>
      <c r="W128" s="14"/>
      <c r="X128" s="14"/>
      <c r="Y128" s="14"/>
      <c r="Z128" s="14"/>
      <c r="AA128" s="14"/>
    </row>
    <row r="129" spans="1:27" ht="13.5" hidden="1"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hidden="1"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hidden="1" customHeight="1">
      <c r="A131" s="14"/>
      <c r="B131" s="50"/>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hidden="1"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hidden="1"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hidden="1"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spans="1:27" ht="13.5" hidden="1" customHeight="1">
      <c r="A135" s="14"/>
      <c r="B135" s="56" t="s">
        <v>183</v>
      </c>
      <c r="C135" s="56"/>
      <c r="D135" s="56"/>
      <c r="E135" s="56"/>
      <c r="F135" s="56"/>
      <c r="G135" s="56"/>
      <c r="H135" s="14"/>
      <c r="I135" s="14"/>
      <c r="J135" s="14"/>
      <c r="K135" s="14"/>
      <c r="L135" s="14"/>
      <c r="M135" s="14"/>
      <c r="N135" s="14"/>
      <c r="O135" s="14"/>
      <c r="P135" s="14"/>
      <c r="Q135" s="14"/>
      <c r="R135" s="14"/>
      <c r="S135" s="14"/>
      <c r="T135" s="14"/>
      <c r="U135" s="14"/>
      <c r="V135" s="14"/>
      <c r="W135" s="14"/>
      <c r="X135" s="14"/>
      <c r="Y135" s="14"/>
      <c r="Z135" s="14"/>
      <c r="AA135" s="14"/>
    </row>
    <row r="136" spans="1:27" ht="13.5" hidden="1" customHeight="1">
      <c r="A136" s="14"/>
      <c r="B136" s="55">
        <f>B8</f>
        <v>0</v>
      </c>
      <c r="C136" s="56"/>
      <c r="D136" s="56"/>
      <c r="E136" s="56"/>
      <c r="F136" s="56"/>
      <c r="G136" s="56"/>
      <c r="H136" s="14"/>
      <c r="I136" s="14"/>
      <c r="J136" s="14"/>
      <c r="K136" s="14"/>
      <c r="L136" s="14"/>
      <c r="M136" s="14"/>
      <c r="N136" s="14"/>
      <c r="O136" s="14"/>
      <c r="P136" s="14"/>
      <c r="Q136" s="14"/>
      <c r="R136" s="14"/>
      <c r="S136" s="14"/>
      <c r="T136" s="14"/>
      <c r="U136" s="14"/>
      <c r="V136" s="14"/>
      <c r="W136" s="14"/>
      <c r="X136" s="14"/>
      <c r="Y136" s="14"/>
      <c r="Z136" s="14"/>
      <c r="AA136" s="14"/>
    </row>
    <row r="137" spans="1:27" ht="13.5" hidden="1"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hidden="1" customHeight="1">
      <c r="A138" s="14"/>
      <c r="B138" s="57" t="s">
        <v>0</v>
      </c>
      <c r="C138" s="58">
        <v>3</v>
      </c>
      <c r="D138" s="59" t="s">
        <v>1</v>
      </c>
      <c r="E138" s="58">
        <v>3</v>
      </c>
      <c r="F138" s="57" t="s">
        <v>2</v>
      </c>
      <c r="G138" s="58">
        <f>C138*E138</f>
        <v>9</v>
      </c>
      <c r="H138" s="14"/>
      <c r="I138" s="14"/>
      <c r="J138" s="14"/>
      <c r="K138" s="14"/>
      <c r="L138" s="14"/>
      <c r="M138" s="14"/>
      <c r="N138" s="14"/>
      <c r="O138" s="14"/>
      <c r="P138" s="14"/>
      <c r="Q138" s="14"/>
      <c r="R138" s="14"/>
      <c r="S138" s="14"/>
      <c r="T138" s="14"/>
      <c r="U138" s="14"/>
      <c r="V138" s="14"/>
      <c r="W138" s="14"/>
      <c r="X138" s="14"/>
      <c r="Y138" s="14"/>
      <c r="Z138" s="14"/>
      <c r="AA138" s="14"/>
    </row>
    <row r="139" spans="1:27" ht="13.5" hidden="1" customHeight="1">
      <c r="A139" s="14"/>
      <c r="B139" s="14"/>
      <c r="C139" s="14"/>
      <c r="D139" s="60"/>
      <c r="E139" s="14"/>
      <c r="F139" s="14"/>
      <c r="G139" s="62"/>
      <c r="H139" s="14"/>
      <c r="I139" s="14"/>
      <c r="J139" s="14"/>
      <c r="K139" s="14"/>
      <c r="L139" s="14"/>
      <c r="M139" s="14"/>
      <c r="N139" s="14"/>
      <c r="O139" s="14"/>
      <c r="P139" s="14"/>
      <c r="Q139" s="14"/>
      <c r="R139" s="14"/>
      <c r="S139" s="14"/>
      <c r="T139" s="14"/>
      <c r="U139" s="14"/>
      <c r="V139" s="14"/>
      <c r="W139" s="14"/>
      <c r="X139" s="14"/>
      <c r="Y139" s="14"/>
      <c r="Z139" s="14"/>
      <c r="AA139" s="14"/>
    </row>
    <row r="140" spans="1:27" ht="13.5" hidden="1" customHeight="1">
      <c r="A140" s="14"/>
      <c r="B140" s="89" t="s">
        <v>0</v>
      </c>
      <c r="C140" s="84"/>
      <c r="D140" s="60"/>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99" hidden="1" customHeight="1">
      <c r="A141" s="14"/>
      <c r="B141" s="88" t="e">
        <f>VLOOKUP(C138,Instructions!B42:G45,1+MATCH(B136,Instructions!C41:G41,FALSE))</f>
        <v>#N/A</v>
      </c>
      <c r="C141" s="84"/>
      <c r="D141" s="90" t="str">
        <f>VLOOKUP(E138,Instructions!B8:C11,2,FALSE)</f>
        <v>▪ This aspect of the business is of neutral importance to the success of the business</v>
      </c>
      <c r="E141" s="8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hidden="1" customHeight="1">
      <c r="A143" s="14"/>
      <c r="B143" s="61" t="s">
        <v>173</v>
      </c>
      <c r="C143" s="62"/>
      <c r="D143" s="62"/>
      <c r="E143" s="62"/>
      <c r="F143" s="62"/>
      <c r="G143" s="62"/>
      <c r="H143" s="14"/>
      <c r="I143" s="14"/>
      <c r="J143" s="14"/>
      <c r="K143" s="14"/>
      <c r="L143" s="14"/>
      <c r="M143" s="14"/>
      <c r="N143" s="14"/>
      <c r="O143" s="14"/>
      <c r="P143" s="14"/>
      <c r="Q143" s="14"/>
      <c r="R143" s="14"/>
      <c r="S143" s="14"/>
      <c r="T143" s="14"/>
      <c r="U143" s="14"/>
      <c r="V143" s="14"/>
      <c r="W143" s="14"/>
      <c r="X143" s="14"/>
      <c r="Y143" s="14"/>
      <c r="Z143" s="14"/>
      <c r="AA143" s="14"/>
    </row>
    <row r="144" spans="1:27" ht="13.5" hidden="1" customHeight="1">
      <c r="A144" s="14"/>
      <c r="B144" s="63"/>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hidden="1" customHeight="1">
      <c r="A145" s="14"/>
      <c r="B145" s="63"/>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hidden="1" customHeight="1">
      <c r="A146" s="14"/>
      <c r="B146" s="63"/>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hidden="1" customHeight="1">
      <c r="A147" s="14"/>
      <c r="B147" s="63"/>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hidden="1" customHeight="1">
      <c r="A148" s="14"/>
      <c r="B148" s="63"/>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hidden="1" customHeight="1">
      <c r="A149" s="14"/>
      <c r="B149" s="63"/>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hidden="1" customHeight="1">
      <c r="A150" s="14"/>
      <c r="B150" s="14"/>
      <c r="C150" s="6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hidden="1" customHeight="1">
      <c r="A151" s="14"/>
      <c r="B151" s="14"/>
      <c r="C151" s="6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hidden="1" customHeight="1">
      <c r="A152" s="14"/>
      <c r="B152" s="61" t="s">
        <v>181</v>
      </c>
      <c r="C152" s="62"/>
      <c r="D152" s="62"/>
      <c r="E152" s="62"/>
      <c r="F152" s="62"/>
      <c r="G152" s="62"/>
      <c r="H152" s="14"/>
      <c r="I152" s="14"/>
      <c r="J152" s="14"/>
      <c r="K152" s="14"/>
      <c r="L152" s="14"/>
      <c r="M152" s="14"/>
      <c r="N152" s="14"/>
      <c r="O152" s="14"/>
      <c r="P152" s="14"/>
      <c r="Q152" s="14"/>
      <c r="R152" s="14"/>
      <c r="S152" s="14"/>
      <c r="T152" s="14"/>
      <c r="U152" s="14"/>
      <c r="V152" s="14"/>
      <c r="W152" s="14"/>
      <c r="X152" s="14"/>
      <c r="Y152" s="14"/>
      <c r="Z152" s="14"/>
      <c r="AA152" s="14"/>
    </row>
    <row r="153" spans="1:27" ht="13.5" hidden="1"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hidden="1"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hidden="1"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hidden="1"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hidden="1"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hidden="1"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hidden="1" customHeight="1">
      <c r="A159" s="14"/>
      <c r="B159" s="61" t="s">
        <v>182</v>
      </c>
      <c r="C159" s="62"/>
      <c r="D159" s="62"/>
      <c r="E159" s="62"/>
      <c r="F159" s="62"/>
      <c r="G159" s="62"/>
      <c r="H159" s="14"/>
      <c r="I159" s="14"/>
      <c r="J159" s="14"/>
      <c r="K159" s="14"/>
      <c r="L159" s="14"/>
      <c r="M159" s="14"/>
      <c r="N159" s="14"/>
      <c r="O159" s="14"/>
      <c r="P159" s="14"/>
      <c r="Q159" s="14"/>
      <c r="R159" s="14"/>
      <c r="S159" s="14"/>
      <c r="T159" s="14"/>
      <c r="U159" s="14"/>
      <c r="V159" s="14"/>
      <c r="W159" s="14"/>
      <c r="X159" s="14"/>
      <c r="Y159" s="14"/>
      <c r="Z159" s="14"/>
      <c r="AA159" s="14"/>
    </row>
    <row r="160" spans="1:27" ht="13.5" hidden="1"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hidden="1"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hidden="1" customHeight="1">
      <c r="A162" s="14"/>
      <c r="B162" s="50"/>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hidden="1"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hidden="1"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hidden="1"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hidden="1" customHeight="1">
      <c r="A166" s="14"/>
      <c r="B166" s="56" t="s">
        <v>183</v>
      </c>
      <c r="C166" s="56"/>
      <c r="D166" s="56"/>
      <c r="E166" s="56"/>
      <c r="F166" s="56"/>
      <c r="G166" s="56"/>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7">
    <mergeCell ref="B47:C47"/>
    <mergeCell ref="D48:E48"/>
    <mergeCell ref="B140:C140"/>
    <mergeCell ref="B141:C141"/>
    <mergeCell ref="D141:E141"/>
    <mergeCell ref="B48:C48"/>
    <mergeCell ref="B78:C78"/>
    <mergeCell ref="B79:C79"/>
    <mergeCell ref="D79:E79"/>
    <mergeCell ref="B109:C109"/>
    <mergeCell ref="B110:C110"/>
    <mergeCell ref="D110:E110"/>
    <mergeCell ref="B1:F1"/>
    <mergeCell ref="B16:C16"/>
    <mergeCell ref="D16:E16"/>
    <mergeCell ref="B17:C17"/>
    <mergeCell ref="D17:E17"/>
  </mergeCells>
  <conditionalFormatting sqref="C14:C15">
    <cfRule type="colorScale" priority="1">
      <colorScale>
        <cfvo type="formula" val="1"/>
        <cfvo type="formula" val="2.5"/>
        <cfvo type="formula" val="4"/>
        <color rgb="FF6DCC32"/>
        <color rgb="FFFFE600"/>
        <color rgb="FFC00000"/>
      </colorScale>
    </cfRule>
  </conditionalFormatting>
  <conditionalFormatting sqref="E14:E15">
    <cfRule type="colorScale" priority="2">
      <colorScale>
        <cfvo type="formula" val="1"/>
        <cfvo type="formula" val="2.5"/>
        <cfvo type="formula" val="4"/>
        <color rgb="FF6DCC32"/>
        <color rgb="FFFFC000"/>
        <color rgb="FFC00000"/>
      </colorScale>
    </cfRule>
  </conditionalFormatting>
  <conditionalFormatting sqref="G14:G16">
    <cfRule type="colorScale" priority="3">
      <colorScale>
        <cfvo type="formula" val="1"/>
        <cfvo type="formula" val="8.5"/>
        <cfvo type="formula" val="16"/>
        <color rgb="FF6DCC32"/>
        <color rgb="FFFFC000"/>
        <color rgb="FFC00000"/>
      </colorScale>
    </cfRule>
  </conditionalFormatting>
  <conditionalFormatting sqref="C45:C46">
    <cfRule type="colorScale" priority="4">
      <colorScale>
        <cfvo type="formula" val="1"/>
        <cfvo type="formula" val="2.5"/>
        <cfvo type="formula" val="4"/>
        <color rgb="FF6DCC32"/>
        <color rgb="FFFFE600"/>
        <color rgb="FFC00000"/>
      </colorScale>
    </cfRule>
  </conditionalFormatting>
  <conditionalFormatting sqref="E45:E47">
    <cfRule type="colorScale" priority="5">
      <colorScale>
        <cfvo type="formula" val="1"/>
        <cfvo type="formula" val="2.5"/>
        <cfvo type="formula" val="4"/>
        <color rgb="FF6DCC32"/>
        <color rgb="FFFFC000"/>
        <color rgb="FFC00000"/>
      </colorScale>
    </cfRule>
  </conditionalFormatting>
  <conditionalFormatting sqref="G45:G47">
    <cfRule type="colorScale" priority="6">
      <colorScale>
        <cfvo type="formula" val="1"/>
        <cfvo type="formula" val="8.5"/>
        <cfvo type="formula" val="16"/>
        <color rgb="FF6DCC32"/>
        <color rgb="FFFFC000"/>
        <color rgb="FFC00000"/>
      </colorScale>
    </cfRule>
  </conditionalFormatting>
  <conditionalFormatting sqref="C76:C77">
    <cfRule type="colorScale" priority="7">
      <colorScale>
        <cfvo type="formula" val="1"/>
        <cfvo type="formula" val="2.5"/>
        <cfvo type="formula" val="4"/>
        <color rgb="FF6DCC32"/>
        <color rgb="FFFFE600"/>
        <color rgb="FFC00000"/>
      </colorScale>
    </cfRule>
  </conditionalFormatting>
  <conditionalFormatting sqref="E76:E78">
    <cfRule type="colorScale" priority="8">
      <colorScale>
        <cfvo type="formula" val="1"/>
        <cfvo type="formula" val="2.5"/>
        <cfvo type="formula" val="4"/>
        <color rgb="FF6DCC32"/>
        <color rgb="FFFFC000"/>
        <color rgb="FFC00000"/>
      </colorScale>
    </cfRule>
  </conditionalFormatting>
  <conditionalFormatting sqref="G76:G78">
    <cfRule type="colorScale" priority="9">
      <colorScale>
        <cfvo type="formula" val="1"/>
        <cfvo type="formula" val="8.5"/>
        <cfvo type="formula" val="16"/>
        <color rgb="FF6DCC32"/>
        <color rgb="FFFFC000"/>
        <color rgb="FFC00000"/>
      </colorScale>
    </cfRule>
  </conditionalFormatting>
  <conditionalFormatting sqref="C107:C108">
    <cfRule type="colorScale" priority="10">
      <colorScale>
        <cfvo type="formula" val="1"/>
        <cfvo type="formula" val="2.5"/>
        <cfvo type="formula" val="4"/>
        <color rgb="FF6DCC32"/>
        <color rgb="FFFFE600"/>
        <color rgb="FFC00000"/>
      </colorScale>
    </cfRule>
  </conditionalFormatting>
  <conditionalFormatting sqref="E107:E109">
    <cfRule type="colorScale" priority="11">
      <colorScale>
        <cfvo type="formula" val="1"/>
        <cfvo type="formula" val="2.5"/>
        <cfvo type="formula" val="4"/>
        <color rgb="FF6DCC32"/>
        <color rgb="FFFFC000"/>
        <color rgb="FFC00000"/>
      </colorScale>
    </cfRule>
  </conditionalFormatting>
  <conditionalFormatting sqref="G107:G109">
    <cfRule type="colorScale" priority="12">
      <colorScale>
        <cfvo type="formula" val="1"/>
        <cfvo type="formula" val="8.5"/>
        <cfvo type="formula" val="16"/>
        <color rgb="FF6DCC32"/>
        <color rgb="FFFFC000"/>
        <color rgb="FFC00000"/>
      </colorScale>
    </cfRule>
  </conditionalFormatting>
  <conditionalFormatting sqref="C138:C139">
    <cfRule type="colorScale" priority="13">
      <colorScale>
        <cfvo type="formula" val="1"/>
        <cfvo type="formula" val="2.5"/>
        <cfvo type="formula" val="4"/>
        <color rgb="FF6DCC32"/>
        <color rgb="FFFFE600"/>
        <color rgb="FFC00000"/>
      </colorScale>
    </cfRule>
  </conditionalFormatting>
  <conditionalFormatting sqref="E138:E140">
    <cfRule type="colorScale" priority="14">
      <colorScale>
        <cfvo type="formula" val="1"/>
        <cfvo type="formula" val="2.5"/>
        <cfvo type="formula" val="4"/>
        <color rgb="FF6DCC32"/>
        <color rgb="FFFFC000"/>
        <color rgb="FFC00000"/>
      </colorScale>
    </cfRule>
  </conditionalFormatting>
  <conditionalFormatting sqref="G138:G140">
    <cfRule type="colorScale" priority="15">
      <colorScale>
        <cfvo type="formula" val="1"/>
        <cfvo type="formula" val="8.5"/>
        <cfvo type="formula" val="16"/>
        <color rgb="FF6DCC32"/>
        <color rgb="FFFFC000"/>
        <color rgb="FFC00000"/>
      </colorScale>
    </cfRule>
  </conditionalFormatting>
  <conditionalFormatting sqref="C3:C8">
    <cfRule type="colorScale" priority="16">
      <colorScale>
        <cfvo type="formula" val="1"/>
        <cfvo type="formula" val="2.5"/>
        <cfvo type="formula" val="4"/>
        <color rgb="FF6DCC32"/>
        <color rgb="FFFFE600"/>
        <color rgb="FFC00000"/>
      </colorScale>
    </cfRule>
  </conditionalFormatting>
  <conditionalFormatting sqref="D3:D8">
    <cfRule type="colorScale" priority="17">
      <colorScale>
        <cfvo type="formula" val="1"/>
        <cfvo type="formula" val="2.5"/>
        <cfvo type="formula" val="4"/>
        <color rgb="FF6DCC32"/>
        <color rgb="FFFFE600"/>
        <color rgb="FFC00000"/>
      </colorScale>
    </cfRule>
  </conditionalFormatting>
  <conditionalFormatting sqref="E3:E8">
    <cfRule type="colorScale" priority="18">
      <colorScale>
        <cfvo type="formula" val="1"/>
        <cfvo type="formula" val="8.5"/>
        <cfvo type="formula" val="16"/>
        <color rgb="FF6DCC32"/>
        <color rgb="FFFFE600"/>
        <color rgb="FFC00000"/>
      </colorScale>
    </cfRule>
  </conditionalFormatting>
  <dataValidations count="6">
    <dataValidation type="decimal" allowBlank="1" showInputMessage="1" showErrorMessage="1" prompt="Please enter a rating (1-3)" sqref="E3:E8 G14:G16 G45:G47 G76:G78 G107:G109 G138:G140" xr:uid="{00000000-0002-0000-0700-000000000000}">
      <formula1>1</formula1>
      <formula2>15</formula2>
    </dataValidation>
    <dataValidation type="list" allowBlank="1" showInputMessage="1" showErrorMessage="1" prompt="Please enter a rating (1-3)" sqref="E15 E46:E47 E77:E78 E108:E109 E139:E140" xr:uid="{00000000-0002-0000-0700-000001000000}">
      <formula1>"1,2,3"</formula1>
    </dataValidation>
    <dataValidation type="list" allowBlank="1" showInputMessage="1" showErrorMessage="1" prompt="Please enter a rating (1-5)" sqref="C15 C46 C77 C107:C108 C138:C139" xr:uid="{00000000-0002-0000-0700-000002000000}">
      <formula1>"1,2,3"</formula1>
    </dataValidation>
    <dataValidation type="list" allowBlank="1" showInputMessage="1" showErrorMessage="1" prompt="Please enter a rating (1-5)" sqref="C14 C45 C76" xr:uid="{00000000-0002-0000-0700-000003000000}">
      <formula1>"1,2,3,4"</formula1>
    </dataValidation>
    <dataValidation type="list" allowBlank="1" showErrorMessage="1" sqref="C10" xr:uid="{00000000-0002-0000-0700-000004000000}">
      <formula1>$B$4:$B$6</formula1>
    </dataValidation>
    <dataValidation type="list" allowBlank="1" showInputMessage="1" showErrorMessage="1" prompt="Please enter a rating (1-3)" sqref="E14 E45 E76 E107 E138" xr:uid="{00000000-0002-0000-0700-000005000000}">
      <formula1>"1,2,3,4"</formula1>
    </dataValidation>
  </dataValidations>
  <pageMargins left="0.7" right="0.7" top="0.75" bottom="0.75" header="0" footer="0"/>
  <pageSetup paperSize="9"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25.40625" customWidth="1"/>
    <col min="7" max="7" width="13.6796875" customWidth="1"/>
    <col min="8" max="8" width="12.26953125" customWidth="1"/>
    <col min="9" max="9" width="13.6796875" customWidth="1"/>
    <col min="10" max="27" width="8.86328125" customWidth="1"/>
  </cols>
  <sheetData>
    <row r="1" spans="1:27" ht="13.5" customHeight="1">
      <c r="A1" s="50"/>
      <c r="B1" s="91" t="s">
        <v>26</v>
      </c>
      <c r="C1" s="83"/>
      <c r="D1" s="83"/>
      <c r="E1" s="83"/>
      <c r="F1" s="84"/>
      <c r="G1" s="66"/>
      <c r="H1" s="50"/>
      <c r="I1" s="50"/>
      <c r="J1" s="50"/>
      <c r="K1" s="50"/>
      <c r="L1" s="50"/>
      <c r="M1" s="50"/>
      <c r="N1" s="50"/>
      <c r="O1" s="50"/>
      <c r="P1" s="50"/>
      <c r="Q1" s="50"/>
      <c r="R1" s="50"/>
      <c r="S1" s="50"/>
      <c r="T1" s="50"/>
      <c r="U1" s="50"/>
      <c r="V1" s="50"/>
      <c r="W1" s="50"/>
      <c r="X1" s="50"/>
      <c r="Y1" s="50"/>
      <c r="Z1" s="50"/>
      <c r="AA1" s="50"/>
    </row>
    <row r="2" spans="1:27" ht="13.5" customHeight="1">
      <c r="A2" s="14"/>
      <c r="B2" s="14"/>
      <c r="C2" s="60" t="s">
        <v>0</v>
      </c>
      <c r="D2" s="60" t="s">
        <v>1</v>
      </c>
      <c r="E2" s="60"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67">
        <f t="shared" ref="C3:D3" si="0">AVERAGE(C4:C8)</f>
        <v>2</v>
      </c>
      <c r="D3" s="67">
        <f t="shared" si="0"/>
        <v>3.25</v>
      </c>
      <c r="E3" s="68">
        <f>ROUND(AVERAGE(E4:E8),0)</f>
        <v>6</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
        <v>27</v>
      </c>
      <c r="C4" s="69">
        <f>C14</f>
        <v>2</v>
      </c>
      <c r="D4" s="69">
        <f>E14</f>
        <v>2</v>
      </c>
      <c r="E4" s="28">
        <f t="shared" ref="E4:E7" si="1">C4*D4</f>
        <v>4</v>
      </c>
      <c r="F4" s="71">
        <v>1</v>
      </c>
      <c r="G4" s="14"/>
      <c r="H4" s="14"/>
      <c r="I4" s="14"/>
      <c r="J4" s="14"/>
      <c r="K4" s="14"/>
      <c r="L4" s="14"/>
      <c r="M4" s="14"/>
      <c r="N4" s="14"/>
      <c r="O4" s="14"/>
      <c r="P4" s="14"/>
      <c r="Q4" s="14"/>
      <c r="R4" s="14"/>
      <c r="S4" s="14"/>
      <c r="T4" s="14"/>
      <c r="U4" s="14"/>
      <c r="V4" s="14"/>
      <c r="W4" s="14"/>
      <c r="X4" s="14"/>
      <c r="Y4" s="14"/>
      <c r="Z4" s="14"/>
      <c r="AA4" s="14"/>
    </row>
    <row r="5" spans="1:27" ht="13.5" customHeight="1">
      <c r="A5" s="14"/>
      <c r="B5" s="14" t="s">
        <v>28</v>
      </c>
      <c r="C5" s="69">
        <f>C45</f>
        <v>2</v>
      </c>
      <c r="D5" s="69">
        <f>E45</f>
        <v>4</v>
      </c>
      <c r="E5" s="28">
        <f t="shared" si="1"/>
        <v>8</v>
      </c>
      <c r="F5" s="71">
        <v>2</v>
      </c>
      <c r="G5" s="14"/>
      <c r="H5" s="14"/>
      <c r="I5" s="14"/>
      <c r="J5" s="14"/>
      <c r="K5" s="14"/>
      <c r="L5" s="14"/>
      <c r="M5" s="14"/>
      <c r="N5" s="14"/>
      <c r="O5" s="14"/>
      <c r="P5" s="14"/>
      <c r="Q5" s="14"/>
      <c r="R5" s="14"/>
      <c r="S5" s="14"/>
      <c r="T5" s="14"/>
      <c r="U5" s="14"/>
      <c r="V5" s="14"/>
      <c r="W5" s="14"/>
      <c r="X5" s="14"/>
      <c r="Y5" s="14"/>
      <c r="Z5" s="14"/>
      <c r="AA5" s="14"/>
    </row>
    <row r="6" spans="1:27" ht="13.5" customHeight="1">
      <c r="A6" s="14"/>
      <c r="B6" s="14" t="s">
        <v>29</v>
      </c>
      <c r="C6" s="69">
        <f>C76</f>
        <v>1</v>
      </c>
      <c r="D6" s="69">
        <f>E76</f>
        <v>4</v>
      </c>
      <c r="E6" s="28">
        <f t="shared" si="1"/>
        <v>4</v>
      </c>
      <c r="F6" s="71">
        <v>3</v>
      </c>
      <c r="G6" s="14"/>
      <c r="H6" s="14"/>
      <c r="I6" s="14"/>
      <c r="J6" s="14"/>
      <c r="K6" s="14"/>
      <c r="L6" s="14"/>
      <c r="M6" s="14"/>
      <c r="N6" s="14"/>
      <c r="O6" s="14"/>
      <c r="P6" s="14"/>
      <c r="Q6" s="14"/>
      <c r="R6" s="14"/>
      <c r="S6" s="14"/>
      <c r="T6" s="14"/>
      <c r="U6" s="14"/>
      <c r="V6" s="14"/>
      <c r="W6" s="14"/>
      <c r="X6" s="14"/>
      <c r="Y6" s="14"/>
      <c r="Z6" s="14"/>
      <c r="AA6" s="14"/>
    </row>
    <row r="7" spans="1:27" ht="13.5" customHeight="1">
      <c r="A7" s="14"/>
      <c r="B7" s="14" t="s">
        <v>18</v>
      </c>
      <c r="C7" s="69">
        <f>C107</f>
        <v>3</v>
      </c>
      <c r="D7" s="69">
        <f>E107</f>
        <v>3</v>
      </c>
      <c r="E7" s="28">
        <f t="shared" si="1"/>
        <v>9</v>
      </c>
      <c r="F7" s="71">
        <v>4</v>
      </c>
      <c r="G7" s="14"/>
      <c r="H7" s="14"/>
      <c r="I7" s="14"/>
      <c r="J7" s="14"/>
      <c r="K7" s="14"/>
      <c r="L7" s="14"/>
      <c r="M7" s="14"/>
      <c r="N7" s="14"/>
      <c r="O7" s="14"/>
      <c r="P7" s="14"/>
      <c r="Q7" s="14"/>
      <c r="R7" s="14"/>
      <c r="S7" s="14"/>
      <c r="T7" s="14"/>
      <c r="U7" s="14"/>
      <c r="V7" s="14"/>
      <c r="W7" s="14"/>
      <c r="X7" s="14"/>
      <c r="Y7" s="14"/>
      <c r="Z7" s="14"/>
      <c r="AA7" s="14"/>
    </row>
    <row r="8" spans="1:27" ht="13.5" customHeight="1">
      <c r="A8" s="14"/>
      <c r="B8" s="14"/>
      <c r="C8" s="74"/>
      <c r="D8" s="74"/>
      <c r="E8" s="75"/>
      <c r="F8" s="71"/>
      <c r="G8" s="14"/>
      <c r="H8" s="14"/>
      <c r="I8" s="14"/>
      <c r="J8" s="14"/>
      <c r="K8" s="14"/>
      <c r="L8" s="14"/>
      <c r="M8" s="14"/>
      <c r="N8" s="14"/>
      <c r="O8" s="14"/>
      <c r="P8" s="14"/>
      <c r="Q8" s="14"/>
      <c r="R8" s="14"/>
      <c r="S8" s="14"/>
      <c r="T8" s="14"/>
      <c r="U8" s="14"/>
      <c r="V8" s="14"/>
      <c r="W8" s="14"/>
      <c r="X8" s="14"/>
      <c r="Y8" s="14"/>
      <c r="Z8" s="14"/>
      <c r="AA8" s="14"/>
    </row>
    <row r="9" spans="1:27" ht="13.5"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71">
        <f>VLOOKUP(C10,B4:F8,5,FALSE)</f>
        <v>4</v>
      </c>
      <c r="B10" s="50" t="s">
        <v>171</v>
      </c>
      <c r="C10" s="53" t="s">
        <v>18</v>
      </c>
      <c r="D10" s="70" t="s">
        <v>172</v>
      </c>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row>
    <row r="12" spans="1:27" ht="13.5" hidden="1" customHeight="1">
      <c r="A12" s="14"/>
      <c r="B12" s="55" t="str">
        <f>B4</f>
        <v>Governance</v>
      </c>
      <c r="C12" s="56"/>
      <c r="D12" s="56"/>
      <c r="E12" s="56"/>
      <c r="F12" s="56"/>
      <c r="G12" s="56"/>
      <c r="H12" s="14"/>
      <c r="I12" s="14"/>
      <c r="J12" s="14"/>
      <c r="K12" s="14"/>
      <c r="L12" s="14"/>
      <c r="M12" s="14"/>
      <c r="N12" s="14"/>
      <c r="O12" s="14"/>
      <c r="P12" s="14"/>
      <c r="Q12" s="14"/>
      <c r="R12" s="14"/>
      <c r="S12" s="14"/>
      <c r="T12" s="14"/>
      <c r="U12" s="14"/>
      <c r="V12" s="14"/>
      <c r="W12" s="14"/>
      <c r="X12" s="14"/>
      <c r="Y12" s="14"/>
      <c r="Z12" s="14"/>
      <c r="AA12" s="14"/>
    </row>
    <row r="13" spans="1:27" ht="13.5" hidden="1"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row>
    <row r="14" spans="1:27" ht="13.5" hidden="1" customHeight="1">
      <c r="A14" s="14"/>
      <c r="B14" s="57" t="s">
        <v>0</v>
      </c>
      <c r="C14" s="58">
        <v>2</v>
      </c>
      <c r="D14" s="59" t="s">
        <v>1</v>
      </c>
      <c r="E14" s="58">
        <v>2</v>
      </c>
      <c r="F14" s="57" t="s">
        <v>2</v>
      </c>
      <c r="G14" s="58">
        <f>C14*E14</f>
        <v>4</v>
      </c>
      <c r="H14" s="14"/>
      <c r="I14" s="14"/>
      <c r="J14" s="14"/>
      <c r="K14" s="14"/>
      <c r="L14" s="14"/>
      <c r="M14" s="14"/>
      <c r="N14" s="14"/>
      <c r="O14" s="14"/>
      <c r="P14" s="14"/>
      <c r="Q14" s="14"/>
      <c r="R14" s="14"/>
      <c r="S14" s="14"/>
      <c r="T14" s="14"/>
      <c r="U14" s="14"/>
      <c r="V14" s="14"/>
      <c r="W14" s="14"/>
      <c r="X14" s="14"/>
      <c r="Y14" s="14"/>
      <c r="Z14" s="14"/>
      <c r="AA14" s="14"/>
    </row>
    <row r="15" spans="1:27" ht="13.5" hidden="1" customHeight="1">
      <c r="A15" s="14"/>
      <c r="B15" s="14"/>
      <c r="C15" s="14"/>
      <c r="D15" s="60"/>
      <c r="E15" s="14"/>
      <c r="F15" s="14"/>
      <c r="G15" s="14"/>
      <c r="H15" s="14"/>
      <c r="I15" s="14"/>
      <c r="J15" s="14"/>
      <c r="K15" s="14"/>
      <c r="L15" s="14"/>
      <c r="M15" s="14"/>
      <c r="N15" s="14"/>
      <c r="O15" s="14"/>
      <c r="P15" s="14"/>
      <c r="Q15" s="14"/>
      <c r="R15" s="14"/>
      <c r="S15" s="14"/>
      <c r="T15" s="14"/>
      <c r="U15" s="14"/>
      <c r="V15" s="14"/>
      <c r="W15" s="14"/>
      <c r="X15" s="14"/>
      <c r="Y15" s="14"/>
      <c r="Z15" s="14"/>
      <c r="AA15" s="14"/>
    </row>
    <row r="16" spans="1:27" ht="13.5" hidden="1" customHeight="1">
      <c r="A16" s="14"/>
      <c r="B16" s="89" t="s">
        <v>0</v>
      </c>
      <c r="C16" s="84"/>
      <c r="D16" s="92" t="s">
        <v>1</v>
      </c>
      <c r="E16" s="93"/>
      <c r="F16" s="14"/>
      <c r="G16" s="14"/>
      <c r="H16" s="14"/>
      <c r="I16" s="14"/>
      <c r="J16" s="14"/>
      <c r="K16" s="14"/>
      <c r="L16" s="14"/>
      <c r="M16" s="14"/>
      <c r="N16" s="14"/>
      <c r="O16" s="14"/>
      <c r="P16" s="14"/>
      <c r="Q16" s="14"/>
      <c r="R16" s="14"/>
      <c r="S16" s="14"/>
      <c r="T16" s="14"/>
      <c r="U16" s="14"/>
      <c r="V16" s="14"/>
      <c r="W16" s="14"/>
      <c r="X16" s="14"/>
      <c r="Y16" s="14"/>
      <c r="Z16" s="14"/>
      <c r="AA16" s="14"/>
    </row>
    <row r="17" spans="1:27" ht="155.25" hidden="1" customHeight="1">
      <c r="A17" s="14"/>
      <c r="B17" s="94" t="str">
        <f>VLOOKUP(C14,Instructions!B54:F57,1+MATCH(B12,Instructions!C53:F53,FALSE))</f>
        <v>▪ The board of directors and audit committee are actively involved in oversight.
▪ Independent risk and control functions' roles and responsibilities are clearly defined and documented and follow a model incorporating leadership, risk management, and internal audit.</v>
      </c>
      <c r="C17" s="95"/>
      <c r="D17" s="96" t="str">
        <f>VLOOKUP(E14,Instructions!B8:C11,2,FALSE)</f>
        <v>▪ This aspect of the business is not critical to the success of the business</v>
      </c>
      <c r="E17" s="97"/>
      <c r="F17" s="14"/>
      <c r="G17" s="14"/>
      <c r="H17" s="14"/>
      <c r="I17" s="14"/>
      <c r="J17" s="14"/>
      <c r="K17" s="14"/>
      <c r="L17" s="14"/>
      <c r="M17" s="14"/>
      <c r="N17" s="14"/>
      <c r="O17" s="14"/>
      <c r="P17" s="14"/>
      <c r="Q17" s="14"/>
      <c r="R17" s="14"/>
      <c r="S17" s="14"/>
      <c r="T17" s="14"/>
      <c r="U17" s="14"/>
      <c r="V17" s="14"/>
      <c r="W17" s="14"/>
      <c r="X17" s="14"/>
      <c r="Y17" s="14"/>
      <c r="Z17" s="14"/>
      <c r="AA17" s="14"/>
    </row>
    <row r="18" spans="1:27" ht="13.5" hidden="1"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row>
    <row r="19" spans="1:27" ht="13.5" hidden="1" customHeight="1">
      <c r="A19" s="14"/>
      <c r="B19" s="61" t="s">
        <v>173</v>
      </c>
      <c r="C19" s="62"/>
      <c r="D19" s="62"/>
      <c r="E19" s="62"/>
      <c r="F19" s="62"/>
      <c r="G19" s="62"/>
      <c r="H19" s="14"/>
      <c r="I19" s="14"/>
      <c r="J19" s="14"/>
      <c r="K19" s="14"/>
      <c r="L19" s="14"/>
      <c r="M19" s="14"/>
      <c r="N19" s="14"/>
      <c r="O19" s="14"/>
      <c r="P19" s="14"/>
      <c r="Q19" s="14"/>
      <c r="R19" s="14"/>
      <c r="S19" s="14"/>
      <c r="T19" s="14"/>
      <c r="U19" s="14"/>
      <c r="V19" s="14"/>
      <c r="W19" s="14"/>
      <c r="X19" s="14"/>
      <c r="Y19" s="14"/>
      <c r="Z19" s="14"/>
      <c r="AA19" s="14"/>
    </row>
    <row r="20" spans="1:27" ht="13.5" hidden="1" customHeight="1">
      <c r="A20" s="14"/>
      <c r="B20" s="63"/>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hidden="1" customHeight="1">
      <c r="A21" s="14"/>
      <c r="B21" s="63"/>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hidden="1" customHeight="1">
      <c r="A22" s="14"/>
      <c r="B22" s="63"/>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hidden="1" customHeight="1">
      <c r="A23" s="14"/>
      <c r="B23" s="63"/>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hidden="1" customHeight="1">
      <c r="A24" s="14"/>
      <c r="B24" s="63"/>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hidden="1" customHeight="1">
      <c r="A25" s="14"/>
      <c r="B25" s="63"/>
      <c r="C25" s="1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hidden="1"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hidden="1" customHeight="1">
      <c r="A27" s="14"/>
      <c r="B27" s="14"/>
      <c r="C27" s="64"/>
      <c r="D27" s="14"/>
      <c r="E27" s="14"/>
      <c r="F27" s="14"/>
      <c r="G27" s="14"/>
      <c r="H27" s="14"/>
      <c r="I27" s="14"/>
      <c r="J27" s="14"/>
      <c r="K27" s="14"/>
      <c r="L27" s="14"/>
      <c r="M27" s="14"/>
      <c r="N27" s="14"/>
      <c r="O27" s="14"/>
      <c r="P27" s="14"/>
      <c r="Q27" s="14"/>
      <c r="R27" s="14"/>
      <c r="S27" s="14"/>
      <c r="T27" s="14"/>
      <c r="U27" s="14"/>
      <c r="V27" s="14"/>
      <c r="W27" s="14"/>
      <c r="X27" s="14"/>
      <c r="Y27" s="14"/>
      <c r="Z27" s="14"/>
      <c r="AA27" s="14"/>
    </row>
    <row r="28" spans="1:27" ht="13.5" hidden="1" customHeight="1">
      <c r="A28" s="14"/>
      <c r="B28" s="61" t="s">
        <v>181</v>
      </c>
      <c r="C28" s="62"/>
      <c r="D28" s="62"/>
      <c r="E28" s="62"/>
      <c r="F28" s="62"/>
      <c r="G28" s="62"/>
      <c r="H28" s="14"/>
      <c r="I28" s="14"/>
      <c r="J28" s="14"/>
      <c r="K28" s="14"/>
      <c r="L28" s="14"/>
      <c r="M28" s="14"/>
      <c r="N28" s="14"/>
      <c r="O28" s="14"/>
      <c r="P28" s="14"/>
      <c r="Q28" s="14"/>
      <c r="R28" s="14"/>
      <c r="S28" s="14"/>
      <c r="T28" s="14"/>
      <c r="U28" s="14"/>
      <c r="V28" s="14"/>
      <c r="W28" s="14"/>
      <c r="X28" s="14"/>
      <c r="Y28" s="14"/>
      <c r="Z28" s="14"/>
      <c r="AA28" s="14"/>
    </row>
    <row r="29" spans="1:27" ht="13.5" hidden="1"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hidden="1"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hidden="1"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hidden="1"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hidden="1"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hidden="1"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spans="1:27" ht="13.5" hidden="1" customHeight="1">
      <c r="A35" s="14"/>
      <c r="B35" s="61" t="s">
        <v>182</v>
      </c>
      <c r="C35" s="62"/>
      <c r="D35" s="62"/>
      <c r="E35" s="62"/>
      <c r="F35" s="62"/>
      <c r="G35" s="62"/>
      <c r="H35" s="14"/>
      <c r="I35" s="14"/>
      <c r="J35" s="14"/>
      <c r="K35" s="14"/>
      <c r="L35" s="14"/>
      <c r="M35" s="14"/>
      <c r="N35" s="14"/>
      <c r="O35" s="14"/>
      <c r="P35" s="14"/>
      <c r="Q35" s="14"/>
      <c r="R35" s="14"/>
      <c r="S35" s="14"/>
      <c r="T35" s="14"/>
      <c r="U35" s="14"/>
      <c r="V35" s="14"/>
      <c r="W35" s="14"/>
      <c r="X35" s="14"/>
      <c r="Y35" s="14"/>
      <c r="Z35" s="14"/>
      <c r="AA35" s="14"/>
    </row>
    <row r="36" spans="1:27" ht="13.5" hidden="1"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hidden="1"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hidden="1" customHeight="1">
      <c r="A38" s="14"/>
      <c r="B38" s="50"/>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hidden="1"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hidden="1"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hidden="1" customHeight="1">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row>
    <row r="42" spans="1:27" ht="13.5" hidden="1" customHeight="1">
      <c r="A42" s="14"/>
      <c r="B42" s="56" t="s">
        <v>183</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hidden="1" customHeight="1">
      <c r="A43" s="14"/>
      <c r="B43" s="55" t="str">
        <f>B5</f>
        <v>Risk Management</v>
      </c>
      <c r="C43" s="56"/>
      <c r="D43" s="56"/>
      <c r="E43" s="56"/>
      <c r="F43" s="56"/>
      <c r="G43" s="56"/>
      <c r="H43" s="14"/>
      <c r="I43" s="14"/>
      <c r="J43" s="14"/>
      <c r="K43" s="14"/>
      <c r="L43" s="14"/>
      <c r="M43" s="14"/>
      <c r="N43" s="14"/>
      <c r="O43" s="14"/>
      <c r="P43" s="14"/>
      <c r="Q43" s="14"/>
      <c r="R43" s="14"/>
      <c r="S43" s="14"/>
      <c r="T43" s="14"/>
      <c r="U43" s="14"/>
      <c r="V43" s="14"/>
      <c r="W43" s="14"/>
      <c r="X43" s="14"/>
      <c r="Y43" s="14"/>
      <c r="Z43" s="14"/>
      <c r="AA43" s="14"/>
    </row>
    <row r="44" spans="1:27" ht="13.5" hidden="1" customHeight="1">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row>
    <row r="45" spans="1:27" ht="13.5" hidden="1" customHeight="1">
      <c r="A45" s="14"/>
      <c r="B45" s="57" t="s">
        <v>0</v>
      </c>
      <c r="C45" s="58">
        <v>2</v>
      </c>
      <c r="D45" s="59" t="s">
        <v>1</v>
      </c>
      <c r="E45" s="58">
        <v>4</v>
      </c>
      <c r="F45" s="57" t="s">
        <v>2</v>
      </c>
      <c r="G45" s="58">
        <f>C45*E45</f>
        <v>8</v>
      </c>
      <c r="H45" s="14"/>
      <c r="I45" s="14"/>
      <c r="J45" s="14"/>
      <c r="K45" s="14"/>
      <c r="L45" s="14"/>
      <c r="M45" s="14"/>
      <c r="N45" s="14"/>
      <c r="O45" s="14"/>
      <c r="P45" s="14"/>
      <c r="Q45" s="14"/>
      <c r="R45" s="14"/>
      <c r="S45" s="14"/>
      <c r="T45" s="14"/>
      <c r="U45" s="14"/>
      <c r="V45" s="14"/>
      <c r="W45" s="14"/>
      <c r="X45" s="14"/>
      <c r="Y45" s="14"/>
      <c r="Z45" s="14"/>
      <c r="AA45" s="14"/>
    </row>
    <row r="46" spans="1:27" ht="13.5" hidden="1" customHeight="1">
      <c r="A46" s="14"/>
      <c r="B46" s="14"/>
      <c r="C46" s="1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13.5" hidden="1" customHeight="1">
      <c r="A47" s="14"/>
      <c r="B47" s="89" t="s">
        <v>0</v>
      </c>
      <c r="C47" s="84"/>
      <c r="D47" s="60"/>
      <c r="E47" s="14"/>
      <c r="F47" s="14"/>
      <c r="G47" s="14"/>
      <c r="H47" s="14"/>
      <c r="I47" s="14"/>
      <c r="J47" s="14"/>
      <c r="K47" s="14"/>
      <c r="L47" s="14"/>
      <c r="M47" s="14"/>
      <c r="N47" s="14"/>
      <c r="O47" s="14"/>
      <c r="P47" s="14"/>
      <c r="Q47" s="14"/>
      <c r="R47" s="14"/>
      <c r="S47" s="14"/>
      <c r="T47" s="14"/>
      <c r="U47" s="14"/>
      <c r="V47" s="14"/>
      <c r="W47" s="14"/>
      <c r="X47" s="14"/>
      <c r="Y47" s="14"/>
      <c r="Z47" s="14"/>
      <c r="AA47" s="14"/>
    </row>
    <row r="48" spans="1:27" ht="99" hidden="1" customHeight="1">
      <c r="A48" s="14"/>
      <c r="B48" s="88" t="str">
        <f>VLOOKUP(C45,Instructions!B54:F57,1+MATCH(B43,Instructions!C53:F53,FALSE))</f>
        <v>▪ There is a structured approach to identifying, monitoring and assessing key risks and controls.
▪ Risk management influences all key expenditures.
▪ Risk management is clearly articulated in all role descriptions and performance criteria.
▪ Risk relating to financial, tax, legal and other compliance activities are actively managed.</v>
      </c>
      <c r="C48" s="84"/>
      <c r="D48" s="90" t="str">
        <f>VLOOKUP(E45,Instructions!B8:C11,2,FALSE)</f>
        <v>▪ This aspect of the business is critical to the success of the business</v>
      </c>
      <c r="E48" s="84"/>
      <c r="F48" s="14"/>
      <c r="G48" s="14"/>
      <c r="H48" s="14"/>
      <c r="I48" s="14"/>
      <c r="J48" s="14"/>
      <c r="K48" s="14"/>
      <c r="L48" s="14"/>
      <c r="M48" s="14"/>
      <c r="N48" s="14"/>
      <c r="O48" s="14"/>
      <c r="P48" s="14"/>
      <c r="Q48" s="14"/>
      <c r="R48" s="14"/>
      <c r="S48" s="14"/>
      <c r="T48" s="14"/>
      <c r="U48" s="14"/>
      <c r="V48" s="14"/>
      <c r="W48" s="14"/>
      <c r="X48" s="14"/>
      <c r="Y48" s="14"/>
      <c r="Z48" s="14"/>
      <c r="AA48" s="14"/>
    </row>
    <row r="49" spans="1:27" ht="13.5" hidden="1"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row>
    <row r="50" spans="1:27" ht="13.5" hidden="1" customHeight="1">
      <c r="A50" s="14"/>
      <c r="B50" s="61" t="s">
        <v>173</v>
      </c>
      <c r="C50" s="62"/>
      <c r="D50" s="62"/>
      <c r="E50" s="62"/>
      <c r="F50" s="62"/>
      <c r="G50" s="62"/>
      <c r="H50" s="14"/>
      <c r="I50" s="14"/>
      <c r="J50" s="14"/>
      <c r="K50" s="14"/>
      <c r="L50" s="14"/>
      <c r="M50" s="14"/>
      <c r="N50" s="14"/>
      <c r="O50" s="14"/>
      <c r="P50" s="14"/>
      <c r="Q50" s="14"/>
      <c r="R50" s="14"/>
      <c r="S50" s="14"/>
      <c r="T50" s="14"/>
      <c r="U50" s="14"/>
      <c r="V50" s="14"/>
      <c r="W50" s="14"/>
      <c r="X50" s="14"/>
      <c r="Y50" s="14"/>
      <c r="Z50" s="14"/>
      <c r="AA50" s="14"/>
    </row>
    <row r="51" spans="1:27" ht="13.5" hidden="1" customHeight="1">
      <c r="A51" s="14"/>
      <c r="B51" s="63"/>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hidden="1" customHeight="1">
      <c r="A52" s="14"/>
      <c r="B52" s="63"/>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hidden="1" customHeight="1">
      <c r="A53" s="14"/>
      <c r="B53" s="63"/>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hidden="1" customHeight="1">
      <c r="A54" s="14"/>
      <c r="B54" s="63"/>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hidden="1" customHeight="1">
      <c r="A55" s="14"/>
      <c r="B55" s="63"/>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hidden="1" customHeight="1">
      <c r="A56" s="14"/>
      <c r="B56" s="63"/>
      <c r="C56" s="1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hidden="1"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hidden="1" customHeight="1">
      <c r="A58" s="14"/>
      <c r="B58" s="14"/>
      <c r="C58" s="64"/>
      <c r="D58" s="14"/>
      <c r="E58" s="14"/>
      <c r="F58" s="14"/>
      <c r="G58" s="14"/>
      <c r="H58" s="14"/>
      <c r="I58" s="14"/>
      <c r="J58" s="14"/>
      <c r="K58" s="14"/>
      <c r="L58" s="14"/>
      <c r="M58" s="14"/>
      <c r="N58" s="14"/>
      <c r="O58" s="14"/>
      <c r="P58" s="14"/>
      <c r="Q58" s="14"/>
      <c r="R58" s="14"/>
      <c r="S58" s="14"/>
      <c r="T58" s="14"/>
      <c r="U58" s="14"/>
      <c r="V58" s="14"/>
      <c r="W58" s="14"/>
      <c r="X58" s="14"/>
      <c r="Y58" s="14"/>
      <c r="Z58" s="14"/>
      <c r="AA58" s="14"/>
    </row>
    <row r="59" spans="1:27" ht="13.5" hidden="1" customHeight="1">
      <c r="A59" s="14"/>
      <c r="B59" s="61" t="s">
        <v>181</v>
      </c>
      <c r="C59" s="62"/>
      <c r="D59" s="62"/>
      <c r="E59" s="62"/>
      <c r="F59" s="62"/>
      <c r="G59" s="62"/>
      <c r="H59" s="14"/>
      <c r="I59" s="14"/>
      <c r="J59" s="14"/>
      <c r="K59" s="14"/>
      <c r="L59" s="14"/>
      <c r="M59" s="14"/>
      <c r="N59" s="14"/>
      <c r="O59" s="14"/>
      <c r="P59" s="14"/>
      <c r="Q59" s="14"/>
      <c r="R59" s="14"/>
      <c r="S59" s="14"/>
      <c r="T59" s="14"/>
      <c r="U59" s="14"/>
      <c r="V59" s="14"/>
      <c r="W59" s="14"/>
      <c r="X59" s="14"/>
      <c r="Y59" s="14"/>
      <c r="Z59" s="14"/>
      <c r="AA59" s="14"/>
    </row>
    <row r="60" spans="1:27" ht="13.5" hidden="1"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hidden="1"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hidden="1"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hidden="1"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hidden="1"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hidden="1"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spans="1:27" ht="13.5" hidden="1" customHeight="1">
      <c r="A66" s="14"/>
      <c r="B66" s="61" t="s">
        <v>182</v>
      </c>
      <c r="C66" s="62"/>
      <c r="D66" s="62"/>
      <c r="E66" s="62"/>
      <c r="F66" s="62"/>
      <c r="G66" s="62"/>
      <c r="H66" s="14"/>
      <c r="I66" s="14"/>
      <c r="J66" s="14"/>
      <c r="K66" s="14"/>
      <c r="L66" s="14"/>
      <c r="M66" s="14"/>
      <c r="N66" s="14"/>
      <c r="O66" s="14"/>
      <c r="P66" s="14"/>
      <c r="Q66" s="14"/>
      <c r="R66" s="14"/>
      <c r="S66" s="14"/>
      <c r="T66" s="14"/>
      <c r="U66" s="14"/>
      <c r="V66" s="14"/>
      <c r="W66" s="14"/>
      <c r="X66" s="14"/>
      <c r="Y66" s="14"/>
      <c r="Z66" s="14"/>
      <c r="AA66" s="14"/>
    </row>
    <row r="67" spans="1:27" ht="13.5" hidden="1"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hidden="1"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hidden="1" customHeight="1">
      <c r="A69" s="14"/>
      <c r="B69" s="50"/>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hidden="1"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hidden="1"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hidden="1"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spans="1:27" ht="13.5" hidden="1" customHeight="1">
      <c r="A73" s="14"/>
      <c r="B73" s="56" t="s">
        <v>183</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55" t="str">
        <f>B6</f>
        <v>Policy and Compliance</v>
      </c>
      <c r="C74" s="56"/>
      <c r="D74" s="56"/>
      <c r="E74" s="56"/>
      <c r="F74" s="56"/>
      <c r="G74" s="56"/>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57" t="s">
        <v>0</v>
      </c>
      <c r="C76" s="58">
        <v>1</v>
      </c>
      <c r="D76" s="59" t="s">
        <v>1</v>
      </c>
      <c r="E76" s="58">
        <v>4</v>
      </c>
      <c r="F76" s="57" t="s">
        <v>2</v>
      </c>
      <c r="G76" s="58">
        <f>C76*E76</f>
        <v>4</v>
      </c>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14"/>
      <c r="C77" s="1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13.5" hidden="1" customHeight="1">
      <c r="A78" s="14"/>
      <c r="B78" s="89" t="s">
        <v>0</v>
      </c>
      <c r="C78" s="84"/>
      <c r="D78" s="60"/>
      <c r="E78" s="14"/>
      <c r="F78" s="14"/>
      <c r="G78" s="14"/>
      <c r="H78" s="14"/>
      <c r="I78" s="14"/>
      <c r="J78" s="14"/>
      <c r="K78" s="14"/>
      <c r="L78" s="14"/>
      <c r="M78" s="14"/>
      <c r="N78" s="14"/>
      <c r="O78" s="14"/>
      <c r="P78" s="14"/>
      <c r="Q78" s="14"/>
      <c r="R78" s="14"/>
      <c r="S78" s="14"/>
      <c r="T78" s="14"/>
      <c r="U78" s="14"/>
      <c r="V78" s="14"/>
      <c r="W78" s="14"/>
      <c r="X78" s="14"/>
      <c r="Y78" s="14"/>
      <c r="Z78" s="14"/>
      <c r="AA78" s="14"/>
    </row>
    <row r="79" spans="1:27" ht="148.5" hidden="1" customHeight="1">
      <c r="A79" s="14"/>
      <c r="B79" s="88" t="str">
        <f>VLOOKUP(C76,Instructions!B54:F57,1+MATCH(B74,Instructions!C53:F53,FALSE))</f>
        <v>▪ There is a comprehensive documented, group-wide policy framework to manage business risk with strong leadership tone from the top.
▪ The risk framework extends to external stakeholders in the value chain.
▪ The business contributes to the development of the regulatory landscape.
▪ Governance, risk and compliance technologies, such as software packages, are used in a coordinated and integrated manner to support risk activities across the organization.</v>
      </c>
      <c r="C79" s="84"/>
      <c r="D79" s="90" t="str">
        <f>VLOOKUP(E76,Instructions!B8:C11,2,FALSE)</f>
        <v>▪ This aspect of the business is critical to the success of the business</v>
      </c>
      <c r="E79" s="8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1" t="s">
        <v>173</v>
      </c>
      <c r="C81" s="62"/>
      <c r="D81" s="62"/>
      <c r="E81" s="62"/>
      <c r="F81" s="62"/>
      <c r="G81" s="62"/>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63"/>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63"/>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14"/>
      <c r="C89" s="64"/>
      <c r="D89" s="14"/>
      <c r="E89" s="14"/>
      <c r="F89" s="14"/>
      <c r="G89" s="14"/>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61" t="s">
        <v>181</v>
      </c>
      <c r="C90" s="62"/>
      <c r="D90" s="62"/>
      <c r="E90" s="62"/>
      <c r="F90" s="62"/>
      <c r="G90" s="62"/>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61" t="s">
        <v>182</v>
      </c>
      <c r="C97" s="62"/>
      <c r="D97" s="62"/>
      <c r="E97" s="62"/>
      <c r="F97" s="62"/>
      <c r="G97" s="62"/>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50"/>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6" t="s">
        <v>183</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customHeight="1">
      <c r="A105" s="14"/>
      <c r="B105" s="55" t="str">
        <f>B7</f>
        <v>Stakeholder Management</v>
      </c>
      <c r="C105" s="56"/>
      <c r="D105" s="56"/>
      <c r="E105" s="56"/>
      <c r="F105" s="56"/>
      <c r="G105" s="56"/>
      <c r="H105" s="14"/>
      <c r="I105" s="14"/>
      <c r="J105" s="14"/>
      <c r="K105" s="14"/>
      <c r="L105" s="14"/>
      <c r="M105" s="14"/>
      <c r="N105" s="14"/>
      <c r="O105" s="14"/>
      <c r="P105" s="14"/>
      <c r="Q105" s="14"/>
      <c r="R105" s="14"/>
      <c r="S105" s="14"/>
      <c r="T105" s="14"/>
      <c r="U105" s="14"/>
      <c r="V105" s="14"/>
      <c r="W105" s="14"/>
      <c r="X105" s="14"/>
      <c r="Y105" s="14"/>
      <c r="Z105" s="14"/>
      <c r="AA105" s="14"/>
    </row>
    <row r="106" spans="1:27" ht="13.5"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spans="1:27" ht="13.5" customHeight="1">
      <c r="A107" s="14"/>
      <c r="B107" s="57" t="s">
        <v>0</v>
      </c>
      <c r="C107" s="58">
        <v>3</v>
      </c>
      <c r="D107" s="59" t="s">
        <v>1</v>
      </c>
      <c r="E107" s="58">
        <v>3</v>
      </c>
      <c r="F107" s="57" t="s">
        <v>2</v>
      </c>
      <c r="G107" s="58">
        <f>C107*E107</f>
        <v>9</v>
      </c>
      <c r="H107" s="14"/>
      <c r="I107" s="14"/>
      <c r="J107" s="14"/>
      <c r="K107" s="14"/>
      <c r="L107" s="14"/>
      <c r="M107" s="14"/>
      <c r="N107" s="14"/>
      <c r="O107" s="14"/>
      <c r="P107" s="14"/>
      <c r="Q107" s="14"/>
      <c r="R107" s="14"/>
      <c r="S107" s="14"/>
      <c r="T107" s="14"/>
      <c r="U107" s="14"/>
      <c r="V107" s="14"/>
      <c r="W107" s="14"/>
      <c r="X107" s="14"/>
      <c r="Y107" s="14"/>
      <c r="Z107" s="14"/>
      <c r="AA107" s="14"/>
    </row>
    <row r="108" spans="1:27" ht="13.5" customHeight="1">
      <c r="A108" s="14"/>
      <c r="B108" s="14"/>
      <c r="C108" s="14"/>
      <c r="D108" s="60"/>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spans="1:27" ht="13.5" customHeight="1">
      <c r="A109" s="14"/>
      <c r="B109" s="89" t="s">
        <v>0</v>
      </c>
      <c r="C109" s="84"/>
      <c r="D109" s="60"/>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99" customHeight="1">
      <c r="A110" s="14"/>
      <c r="B110" s="88" t="str">
        <f>VLOOKUP(C107,Instructions!B54:F57,1+MATCH(B105,Instructions!C53:F53,FALSE))</f>
        <v>▪ Management tells key stakeholders how they handle the most important risk</v>
      </c>
      <c r="C110" s="84"/>
      <c r="D110" s="90" t="str">
        <f>VLOOKUP(E107,Instructions!B8:C11,2,FALSE)</f>
        <v>▪ This aspect of the business is of neutral importance to the success of the business</v>
      </c>
      <c r="E110" s="8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spans="1:27" ht="13.5" customHeight="1">
      <c r="A112" s="14"/>
      <c r="B112" s="61" t="s">
        <v>173</v>
      </c>
      <c r="C112" s="62"/>
      <c r="D112" s="62"/>
      <c r="E112" s="62"/>
      <c r="F112" s="62"/>
      <c r="G112" s="62"/>
      <c r="H112" s="14"/>
      <c r="I112" s="14"/>
      <c r="J112" s="14"/>
      <c r="K112" s="14"/>
      <c r="L112" s="14"/>
      <c r="M112" s="14"/>
      <c r="N112" s="14"/>
      <c r="O112" s="14"/>
      <c r="P112" s="14"/>
      <c r="Q112" s="14"/>
      <c r="R112" s="14"/>
      <c r="S112" s="14"/>
      <c r="T112" s="14"/>
      <c r="U112" s="14"/>
      <c r="V112" s="14"/>
      <c r="W112" s="14"/>
      <c r="X112" s="14"/>
      <c r="Y112" s="14"/>
      <c r="Z112" s="14"/>
      <c r="AA112" s="14"/>
    </row>
    <row r="113" spans="1:27" ht="13.5" customHeight="1">
      <c r="A113" s="14"/>
      <c r="B113" s="63"/>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customHeight="1">
      <c r="A114" s="14"/>
      <c r="B114" s="63"/>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customHeight="1">
      <c r="A115" s="14"/>
      <c r="B115" s="6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customHeight="1">
      <c r="A116" s="14"/>
      <c r="B116" s="63"/>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customHeight="1">
      <c r="A117" s="14"/>
      <c r="B117" s="63"/>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customHeight="1">
      <c r="A118" s="14"/>
      <c r="B118" s="63"/>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customHeight="1">
      <c r="A120" s="14"/>
      <c r="B120" s="14"/>
      <c r="C120" s="6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spans="1:27" ht="13.5" customHeight="1">
      <c r="A121" s="14"/>
      <c r="B121" s="61" t="s">
        <v>181</v>
      </c>
      <c r="C121" s="62"/>
      <c r="D121" s="62"/>
      <c r="E121" s="62"/>
      <c r="F121" s="62"/>
      <c r="G121" s="62"/>
      <c r="H121" s="14"/>
      <c r="I121" s="14"/>
      <c r="J121" s="14"/>
      <c r="K121" s="14"/>
      <c r="L121" s="14"/>
      <c r="M121" s="14"/>
      <c r="N121" s="14"/>
      <c r="O121" s="14"/>
      <c r="P121" s="14"/>
      <c r="Q121" s="14"/>
      <c r="R121" s="14"/>
      <c r="S121" s="14"/>
      <c r="T121" s="14"/>
      <c r="U121" s="14"/>
      <c r="V121" s="14"/>
      <c r="W121" s="14"/>
      <c r="X121" s="14"/>
      <c r="Y121" s="14"/>
      <c r="Z121" s="14"/>
      <c r="AA121" s="14"/>
    </row>
    <row r="122" spans="1:27" ht="13.5"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spans="1:27" ht="13.5" customHeight="1">
      <c r="A128" s="14"/>
      <c r="B128" s="61" t="s">
        <v>182</v>
      </c>
      <c r="C128" s="62"/>
      <c r="D128" s="62"/>
      <c r="E128" s="62"/>
      <c r="F128" s="62"/>
      <c r="G128" s="62"/>
      <c r="H128" s="14"/>
      <c r="I128" s="14"/>
      <c r="J128" s="14"/>
      <c r="K128" s="14"/>
      <c r="L128" s="14"/>
      <c r="M128" s="14"/>
      <c r="N128" s="14"/>
      <c r="O128" s="14"/>
      <c r="P128" s="14"/>
      <c r="Q128" s="14"/>
      <c r="R128" s="14"/>
      <c r="S128" s="14"/>
      <c r="T128" s="14"/>
      <c r="U128" s="14"/>
      <c r="V128" s="14"/>
      <c r="W128" s="14"/>
      <c r="X128" s="14"/>
      <c r="Y128" s="14"/>
      <c r="Z128" s="14"/>
      <c r="AA128" s="14"/>
    </row>
    <row r="129" spans="1:27" ht="13.5"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customHeight="1">
      <c r="A131" s="14"/>
      <c r="B131" s="50"/>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spans="1:27" ht="13.5" customHeight="1">
      <c r="A135" s="14"/>
      <c r="B135" s="56" t="s">
        <v>183</v>
      </c>
      <c r="C135" s="56"/>
      <c r="D135" s="56"/>
      <c r="E135" s="56"/>
      <c r="F135" s="56"/>
      <c r="G135" s="56"/>
      <c r="H135" s="14"/>
      <c r="I135" s="14"/>
      <c r="J135" s="14"/>
      <c r="K135" s="14"/>
      <c r="L135" s="14"/>
      <c r="M135" s="14"/>
      <c r="N135" s="14"/>
      <c r="O135" s="14"/>
      <c r="P135" s="14"/>
      <c r="Q135" s="14"/>
      <c r="R135" s="14"/>
      <c r="S135" s="14"/>
      <c r="T135" s="14"/>
      <c r="U135" s="14"/>
      <c r="V135" s="14"/>
      <c r="W135" s="14"/>
      <c r="X135" s="14"/>
      <c r="Y135" s="14"/>
      <c r="Z135" s="14"/>
      <c r="AA135" s="14"/>
    </row>
    <row r="136" spans="1:27" ht="13.5" hidden="1" customHeight="1">
      <c r="A136" s="14"/>
      <c r="B136" s="55">
        <f>B8</f>
        <v>0</v>
      </c>
      <c r="C136" s="56"/>
      <c r="D136" s="56"/>
      <c r="E136" s="56"/>
      <c r="F136" s="56"/>
      <c r="G136" s="56"/>
      <c r="H136" s="14"/>
      <c r="I136" s="14"/>
      <c r="J136" s="14"/>
      <c r="K136" s="14"/>
      <c r="L136" s="14"/>
      <c r="M136" s="14"/>
      <c r="N136" s="14"/>
      <c r="O136" s="14"/>
      <c r="P136" s="14"/>
      <c r="Q136" s="14"/>
      <c r="R136" s="14"/>
      <c r="S136" s="14"/>
      <c r="T136" s="14"/>
      <c r="U136" s="14"/>
      <c r="V136" s="14"/>
      <c r="W136" s="14"/>
      <c r="X136" s="14"/>
      <c r="Y136" s="14"/>
      <c r="Z136" s="14"/>
      <c r="AA136" s="14"/>
    </row>
    <row r="137" spans="1:27" ht="13.5" hidden="1"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hidden="1" customHeight="1">
      <c r="A138" s="14"/>
      <c r="B138" s="57" t="s">
        <v>0</v>
      </c>
      <c r="C138" s="58">
        <v>3</v>
      </c>
      <c r="D138" s="59" t="s">
        <v>1</v>
      </c>
      <c r="E138" s="58">
        <v>3</v>
      </c>
      <c r="F138" s="57" t="s">
        <v>2</v>
      </c>
      <c r="G138" s="58">
        <f>C138*E138</f>
        <v>9</v>
      </c>
      <c r="H138" s="14"/>
      <c r="I138" s="14"/>
      <c r="J138" s="14"/>
      <c r="K138" s="14"/>
      <c r="L138" s="14"/>
      <c r="M138" s="14"/>
      <c r="N138" s="14"/>
      <c r="O138" s="14"/>
      <c r="P138" s="14"/>
      <c r="Q138" s="14"/>
      <c r="R138" s="14"/>
      <c r="S138" s="14"/>
      <c r="T138" s="14"/>
      <c r="U138" s="14"/>
      <c r="V138" s="14"/>
      <c r="W138" s="14"/>
      <c r="X138" s="14"/>
      <c r="Y138" s="14"/>
      <c r="Z138" s="14"/>
      <c r="AA138" s="14"/>
    </row>
    <row r="139" spans="1:27" ht="13.5" hidden="1" customHeight="1">
      <c r="A139" s="14"/>
      <c r="B139" s="14"/>
      <c r="C139" s="14"/>
      <c r="D139" s="60"/>
      <c r="E139" s="14"/>
      <c r="F139" s="14"/>
      <c r="G139" s="62"/>
      <c r="H139" s="14"/>
      <c r="I139" s="14"/>
      <c r="J139" s="14"/>
      <c r="K139" s="14"/>
      <c r="L139" s="14"/>
      <c r="M139" s="14"/>
      <c r="N139" s="14"/>
      <c r="O139" s="14"/>
      <c r="P139" s="14"/>
      <c r="Q139" s="14"/>
      <c r="R139" s="14"/>
      <c r="S139" s="14"/>
      <c r="T139" s="14"/>
      <c r="U139" s="14"/>
      <c r="V139" s="14"/>
      <c r="W139" s="14"/>
      <c r="X139" s="14"/>
      <c r="Y139" s="14"/>
      <c r="Z139" s="14"/>
      <c r="AA139" s="14"/>
    </row>
    <row r="140" spans="1:27" ht="13.5" hidden="1" customHeight="1">
      <c r="A140" s="14"/>
      <c r="B140" s="89" t="s">
        <v>0</v>
      </c>
      <c r="C140" s="84"/>
      <c r="D140" s="60"/>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99" hidden="1" customHeight="1">
      <c r="A141" s="14"/>
      <c r="B141" s="88" t="e">
        <f>VLOOKUP(C138,Instructions!B42:G45,1+MATCH(B136,Instructions!C41:G41,FALSE))</f>
        <v>#N/A</v>
      </c>
      <c r="C141" s="84"/>
      <c r="D141" s="90" t="str">
        <f>VLOOKUP(E138,Instructions!B8:C11,2,FALSE)</f>
        <v>▪ This aspect of the business is of neutral importance to the success of the business</v>
      </c>
      <c r="E141" s="8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hidden="1" customHeight="1">
      <c r="A143" s="14"/>
      <c r="B143" s="61" t="s">
        <v>173</v>
      </c>
      <c r="C143" s="62"/>
      <c r="D143" s="62"/>
      <c r="E143" s="62"/>
      <c r="F143" s="62"/>
      <c r="G143" s="62"/>
      <c r="H143" s="14"/>
      <c r="I143" s="14"/>
      <c r="J143" s="14"/>
      <c r="K143" s="14"/>
      <c r="L143" s="14"/>
      <c r="M143" s="14"/>
      <c r="N143" s="14"/>
      <c r="O143" s="14"/>
      <c r="P143" s="14"/>
      <c r="Q143" s="14"/>
      <c r="R143" s="14"/>
      <c r="S143" s="14"/>
      <c r="T143" s="14"/>
      <c r="U143" s="14"/>
      <c r="V143" s="14"/>
      <c r="W143" s="14"/>
      <c r="X143" s="14"/>
      <c r="Y143" s="14"/>
      <c r="Z143" s="14"/>
      <c r="AA143" s="14"/>
    </row>
    <row r="144" spans="1:27" ht="13.5" hidden="1" customHeight="1">
      <c r="A144" s="14"/>
      <c r="B144" s="63"/>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hidden="1" customHeight="1">
      <c r="A145" s="14"/>
      <c r="B145" s="63"/>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hidden="1" customHeight="1">
      <c r="A146" s="14"/>
      <c r="B146" s="63"/>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hidden="1" customHeight="1">
      <c r="A147" s="14"/>
      <c r="B147" s="63"/>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hidden="1" customHeight="1">
      <c r="A148" s="14"/>
      <c r="B148" s="63"/>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hidden="1" customHeight="1">
      <c r="A149" s="14"/>
      <c r="B149" s="63"/>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hidden="1" customHeight="1">
      <c r="A150" s="14"/>
      <c r="B150" s="14"/>
      <c r="C150" s="6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hidden="1" customHeight="1">
      <c r="A151" s="14"/>
      <c r="B151" s="14"/>
      <c r="C151" s="6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hidden="1" customHeight="1">
      <c r="A152" s="14"/>
      <c r="B152" s="61" t="s">
        <v>181</v>
      </c>
      <c r="C152" s="62"/>
      <c r="D152" s="62"/>
      <c r="E152" s="62"/>
      <c r="F152" s="62"/>
      <c r="G152" s="62"/>
      <c r="H152" s="14"/>
      <c r="I152" s="14"/>
      <c r="J152" s="14"/>
      <c r="K152" s="14"/>
      <c r="L152" s="14"/>
      <c r="M152" s="14"/>
      <c r="N152" s="14"/>
      <c r="O152" s="14"/>
      <c r="P152" s="14"/>
      <c r="Q152" s="14"/>
      <c r="R152" s="14"/>
      <c r="S152" s="14"/>
      <c r="T152" s="14"/>
      <c r="U152" s="14"/>
      <c r="V152" s="14"/>
      <c r="W152" s="14"/>
      <c r="X152" s="14"/>
      <c r="Y152" s="14"/>
      <c r="Z152" s="14"/>
      <c r="AA152" s="14"/>
    </row>
    <row r="153" spans="1:27" ht="13.5" hidden="1"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hidden="1"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hidden="1"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hidden="1"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hidden="1"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hidden="1"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hidden="1" customHeight="1">
      <c r="A159" s="14"/>
      <c r="B159" s="61" t="s">
        <v>182</v>
      </c>
      <c r="C159" s="62"/>
      <c r="D159" s="62"/>
      <c r="E159" s="62"/>
      <c r="F159" s="62"/>
      <c r="G159" s="62"/>
      <c r="H159" s="14"/>
      <c r="I159" s="14"/>
      <c r="J159" s="14"/>
      <c r="K159" s="14"/>
      <c r="L159" s="14"/>
      <c r="M159" s="14"/>
      <c r="N159" s="14"/>
      <c r="O159" s="14"/>
      <c r="P159" s="14"/>
      <c r="Q159" s="14"/>
      <c r="R159" s="14"/>
      <c r="S159" s="14"/>
      <c r="T159" s="14"/>
      <c r="U159" s="14"/>
      <c r="V159" s="14"/>
      <c r="W159" s="14"/>
      <c r="X159" s="14"/>
      <c r="Y159" s="14"/>
      <c r="Z159" s="14"/>
      <c r="AA159" s="14"/>
    </row>
    <row r="160" spans="1:27" ht="13.5" hidden="1"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hidden="1"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hidden="1" customHeight="1">
      <c r="A162" s="14"/>
      <c r="B162" s="50"/>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hidden="1"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hidden="1"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hidden="1"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hidden="1" customHeight="1">
      <c r="A166" s="14"/>
      <c r="B166" s="56" t="s">
        <v>183</v>
      </c>
      <c r="C166" s="56"/>
      <c r="D166" s="56"/>
      <c r="E166" s="56"/>
      <c r="F166" s="56"/>
      <c r="G166" s="56"/>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7">
    <mergeCell ref="B47:C47"/>
    <mergeCell ref="D48:E48"/>
    <mergeCell ref="B140:C140"/>
    <mergeCell ref="B141:C141"/>
    <mergeCell ref="D141:E141"/>
    <mergeCell ref="B48:C48"/>
    <mergeCell ref="B78:C78"/>
    <mergeCell ref="B79:C79"/>
    <mergeCell ref="D79:E79"/>
    <mergeCell ref="B109:C109"/>
    <mergeCell ref="B110:C110"/>
    <mergeCell ref="D110:E110"/>
    <mergeCell ref="B1:F1"/>
    <mergeCell ref="B16:C16"/>
    <mergeCell ref="D16:E16"/>
    <mergeCell ref="B17:C17"/>
    <mergeCell ref="D17:E17"/>
  </mergeCells>
  <conditionalFormatting sqref="C14:C15">
    <cfRule type="colorScale" priority="1">
      <colorScale>
        <cfvo type="formula" val="1"/>
        <cfvo type="formula" val="2.5"/>
        <cfvo type="formula" val="4"/>
        <color rgb="FF6DCC32"/>
        <color rgb="FFFFE600"/>
        <color rgb="FFC00000"/>
      </colorScale>
    </cfRule>
  </conditionalFormatting>
  <conditionalFormatting sqref="E14:E15">
    <cfRule type="colorScale" priority="2">
      <colorScale>
        <cfvo type="formula" val="1"/>
        <cfvo type="formula" val="2.5"/>
        <cfvo type="formula" val="4"/>
        <color rgb="FF6DCC32"/>
        <color rgb="FFFFC000"/>
        <color rgb="FFC00000"/>
      </colorScale>
    </cfRule>
  </conditionalFormatting>
  <conditionalFormatting sqref="G14:G16">
    <cfRule type="colorScale" priority="3">
      <colorScale>
        <cfvo type="formula" val="1"/>
        <cfvo type="formula" val="8.5"/>
        <cfvo type="formula" val="16"/>
        <color rgb="FF6DCC32"/>
        <color rgb="FFFFC000"/>
        <color rgb="FFC00000"/>
      </colorScale>
    </cfRule>
  </conditionalFormatting>
  <conditionalFormatting sqref="C45:C46">
    <cfRule type="colorScale" priority="4">
      <colorScale>
        <cfvo type="formula" val="1"/>
        <cfvo type="formula" val="2.5"/>
        <cfvo type="formula" val="4"/>
        <color rgb="FF6DCC32"/>
        <color rgb="FFFFE600"/>
        <color rgb="FFC00000"/>
      </colorScale>
    </cfRule>
  </conditionalFormatting>
  <conditionalFormatting sqref="E45:E47">
    <cfRule type="colorScale" priority="5">
      <colorScale>
        <cfvo type="formula" val="1"/>
        <cfvo type="formula" val="2.5"/>
        <cfvo type="formula" val="4"/>
        <color rgb="FF6DCC32"/>
        <color rgb="FFFFC000"/>
        <color rgb="FFC00000"/>
      </colorScale>
    </cfRule>
  </conditionalFormatting>
  <conditionalFormatting sqref="G45:G47">
    <cfRule type="colorScale" priority="6">
      <colorScale>
        <cfvo type="formula" val="1"/>
        <cfvo type="formula" val="8.5"/>
        <cfvo type="formula" val="16"/>
        <color rgb="FF6DCC32"/>
        <color rgb="FFFFC000"/>
        <color rgb="FFC00000"/>
      </colorScale>
    </cfRule>
  </conditionalFormatting>
  <conditionalFormatting sqref="C76:C77">
    <cfRule type="colorScale" priority="7">
      <colorScale>
        <cfvo type="formula" val="1"/>
        <cfvo type="formula" val="2.5"/>
        <cfvo type="formula" val="4"/>
        <color rgb="FF6DCC32"/>
        <color rgb="FFFFE600"/>
        <color rgb="FFC00000"/>
      </colorScale>
    </cfRule>
  </conditionalFormatting>
  <conditionalFormatting sqref="E76:E78">
    <cfRule type="colorScale" priority="8">
      <colorScale>
        <cfvo type="formula" val="1"/>
        <cfvo type="formula" val="2.5"/>
        <cfvo type="formula" val="4"/>
        <color rgb="FF6DCC32"/>
        <color rgb="FFFFC000"/>
        <color rgb="FFC00000"/>
      </colorScale>
    </cfRule>
  </conditionalFormatting>
  <conditionalFormatting sqref="G76:G78">
    <cfRule type="colorScale" priority="9">
      <colorScale>
        <cfvo type="formula" val="1"/>
        <cfvo type="formula" val="8.5"/>
        <cfvo type="formula" val="16"/>
        <color rgb="FF6DCC32"/>
        <color rgb="FFFFC000"/>
        <color rgb="FFC00000"/>
      </colorScale>
    </cfRule>
  </conditionalFormatting>
  <conditionalFormatting sqref="C107:C108">
    <cfRule type="colorScale" priority="10">
      <colorScale>
        <cfvo type="formula" val="1"/>
        <cfvo type="formula" val="2.5"/>
        <cfvo type="formula" val="4"/>
        <color rgb="FF6DCC32"/>
        <color rgb="FFFFE600"/>
        <color rgb="FFC00000"/>
      </colorScale>
    </cfRule>
  </conditionalFormatting>
  <conditionalFormatting sqref="E107:E109">
    <cfRule type="colorScale" priority="11">
      <colorScale>
        <cfvo type="formula" val="1"/>
        <cfvo type="formula" val="2.5"/>
        <cfvo type="formula" val="4"/>
        <color rgb="FF6DCC32"/>
        <color rgb="FFFFC000"/>
        <color rgb="FFC00000"/>
      </colorScale>
    </cfRule>
  </conditionalFormatting>
  <conditionalFormatting sqref="G107:G109">
    <cfRule type="colorScale" priority="12">
      <colorScale>
        <cfvo type="formula" val="1"/>
        <cfvo type="formula" val="8.5"/>
        <cfvo type="formula" val="16"/>
        <color rgb="FF6DCC32"/>
        <color rgb="FFFFC000"/>
        <color rgb="FFC00000"/>
      </colorScale>
    </cfRule>
  </conditionalFormatting>
  <conditionalFormatting sqref="C138:C139">
    <cfRule type="colorScale" priority="13">
      <colorScale>
        <cfvo type="formula" val="1"/>
        <cfvo type="formula" val="2.5"/>
        <cfvo type="formula" val="4"/>
        <color rgb="FF6DCC32"/>
        <color rgb="FFFFE600"/>
        <color rgb="FFC00000"/>
      </colorScale>
    </cfRule>
  </conditionalFormatting>
  <conditionalFormatting sqref="E138:E140">
    <cfRule type="colorScale" priority="14">
      <colorScale>
        <cfvo type="formula" val="1"/>
        <cfvo type="formula" val="2.5"/>
        <cfvo type="formula" val="4"/>
        <color rgb="FF6DCC32"/>
        <color rgb="FFFFC000"/>
        <color rgb="FFC00000"/>
      </colorScale>
    </cfRule>
  </conditionalFormatting>
  <conditionalFormatting sqref="G138:G140">
    <cfRule type="colorScale" priority="15">
      <colorScale>
        <cfvo type="formula" val="1"/>
        <cfvo type="formula" val="8.5"/>
        <cfvo type="formula" val="16"/>
        <color rgb="FF6DCC32"/>
        <color rgb="FFFFC000"/>
        <color rgb="FFC00000"/>
      </colorScale>
    </cfRule>
  </conditionalFormatting>
  <conditionalFormatting sqref="C3:C8">
    <cfRule type="colorScale" priority="16">
      <colorScale>
        <cfvo type="formula" val="1"/>
        <cfvo type="formula" val="2.5"/>
        <cfvo type="formula" val="4"/>
        <color rgb="FF6DCC32"/>
        <color rgb="FFFFE600"/>
        <color rgb="FFC00000"/>
      </colorScale>
    </cfRule>
  </conditionalFormatting>
  <conditionalFormatting sqref="D3:D8">
    <cfRule type="colorScale" priority="17">
      <colorScale>
        <cfvo type="formula" val="1"/>
        <cfvo type="formula" val="2.5"/>
        <cfvo type="formula" val="4"/>
        <color rgb="FF6DCC32"/>
        <color rgb="FFFFE600"/>
        <color rgb="FFC00000"/>
      </colorScale>
    </cfRule>
  </conditionalFormatting>
  <conditionalFormatting sqref="E3:E8">
    <cfRule type="colorScale" priority="18">
      <colorScale>
        <cfvo type="formula" val="1"/>
        <cfvo type="formula" val="8.5"/>
        <cfvo type="formula" val="16"/>
        <color rgb="FF6DCC32"/>
        <color rgb="FFFFE600"/>
        <color rgb="FFC00000"/>
      </colorScale>
    </cfRule>
  </conditionalFormatting>
  <dataValidations count="6">
    <dataValidation type="decimal" allowBlank="1" showInputMessage="1" showErrorMessage="1" prompt="Please enter a rating (1-3)" sqref="E3:E8 G14:G16 G45:G47 G76:G78 G107:G109 G138:G140" xr:uid="{00000000-0002-0000-0800-000000000000}">
      <formula1>1</formula1>
      <formula2>15</formula2>
    </dataValidation>
    <dataValidation type="list" allowBlank="1" showInputMessage="1" showErrorMessage="1" prompt="Please enter a rating (1-3)" sqref="E15 E46:E47 E77:E78 E108:E109 E139:E140" xr:uid="{00000000-0002-0000-0800-000001000000}">
      <formula1>"1,2,3"</formula1>
    </dataValidation>
    <dataValidation type="list" allowBlank="1" showInputMessage="1" showErrorMessage="1" prompt="Please enter a rating (1-5)" sqref="C15 C46 C77 C108 C138:C139" xr:uid="{00000000-0002-0000-0800-000002000000}">
      <formula1>"1,2,3"</formula1>
    </dataValidation>
    <dataValidation type="list" allowBlank="1" showInputMessage="1" showErrorMessage="1" prompt="Please enter a rating (1-5)" sqref="C14 C45 C76 C107" xr:uid="{00000000-0002-0000-0800-000003000000}">
      <formula1>"1,2,3,4"</formula1>
    </dataValidation>
    <dataValidation type="list" allowBlank="1" showInputMessage="1" showErrorMessage="1" prompt="Please enter a rating (1-3)" sqref="E14 E45 E76 E107 E138" xr:uid="{00000000-0002-0000-0800-000004000000}">
      <formula1>"1,2,3,4"</formula1>
    </dataValidation>
    <dataValidation type="list" allowBlank="1" showErrorMessage="1" sqref="C10" xr:uid="{00000000-0002-0000-0800-000005000000}">
      <formula1>$B$4:$B$8</formula1>
    </dataValidation>
  </dataValidations>
  <pageMargins left="0.7" right="0.7" top="0.75" bottom="0.75" header="0" footer="0"/>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AA1000"/>
  <sheetViews>
    <sheetView workbookViewId="0"/>
  </sheetViews>
  <sheetFormatPr defaultColWidth="14.40625" defaultRowHeight="15" customHeight="1"/>
  <cols>
    <col min="1" max="1" width="8.86328125" customWidth="1"/>
    <col min="2" max="2" width="27.26953125" customWidth="1"/>
    <col min="3" max="5" width="28.6796875" customWidth="1"/>
    <col min="6" max="6" width="25.40625" customWidth="1"/>
    <col min="7" max="7" width="13.6796875" customWidth="1"/>
    <col min="8" max="8" width="12.26953125" customWidth="1"/>
    <col min="9" max="9" width="13.6796875" customWidth="1"/>
    <col min="10" max="27" width="8.86328125" customWidth="1"/>
  </cols>
  <sheetData>
    <row r="1" spans="1:27" ht="13.5" customHeight="1">
      <c r="A1" s="50"/>
      <c r="B1" s="91" t="s">
        <v>16</v>
      </c>
      <c r="C1" s="83"/>
      <c r="D1" s="83"/>
      <c r="E1" s="83"/>
      <c r="F1" s="84"/>
      <c r="G1" s="66"/>
      <c r="H1" s="50"/>
      <c r="I1" s="50"/>
      <c r="J1" s="50"/>
      <c r="K1" s="50"/>
      <c r="L1" s="50"/>
      <c r="M1" s="50"/>
      <c r="N1" s="50"/>
      <c r="O1" s="50"/>
      <c r="P1" s="50"/>
      <c r="Q1" s="50"/>
      <c r="R1" s="50"/>
      <c r="S1" s="50"/>
      <c r="T1" s="50"/>
      <c r="U1" s="50"/>
      <c r="V1" s="50"/>
      <c r="W1" s="50"/>
      <c r="X1" s="50"/>
      <c r="Y1" s="50"/>
      <c r="Z1" s="50"/>
      <c r="AA1" s="50"/>
    </row>
    <row r="2" spans="1:27" ht="13.5" customHeight="1">
      <c r="A2" s="14"/>
      <c r="B2" s="14"/>
      <c r="C2" s="60" t="s">
        <v>0</v>
      </c>
      <c r="D2" s="60" t="s">
        <v>1</v>
      </c>
      <c r="E2" s="60" t="s">
        <v>2</v>
      </c>
      <c r="F2" s="14"/>
      <c r="G2" s="14"/>
      <c r="H2" s="14"/>
      <c r="I2" s="14"/>
      <c r="J2" s="14"/>
      <c r="K2" s="14"/>
      <c r="L2" s="14"/>
      <c r="M2" s="14"/>
      <c r="N2" s="14"/>
      <c r="O2" s="14"/>
      <c r="P2" s="14"/>
      <c r="Q2" s="14"/>
      <c r="R2" s="14"/>
      <c r="S2" s="14"/>
      <c r="T2" s="14"/>
      <c r="U2" s="14"/>
      <c r="V2" s="14"/>
      <c r="W2" s="14"/>
      <c r="X2" s="14"/>
      <c r="Y2" s="14"/>
      <c r="Z2" s="14"/>
      <c r="AA2" s="14"/>
    </row>
    <row r="3" spans="1:27" ht="13.5" customHeight="1">
      <c r="A3" s="14"/>
      <c r="B3" s="50" t="s">
        <v>4</v>
      </c>
      <c r="C3" s="67">
        <f t="shared" ref="C3:D3" si="0">AVERAGE(C4:C8)</f>
        <v>2.25</v>
      </c>
      <c r="D3" s="67">
        <f t="shared" si="0"/>
        <v>2.5</v>
      </c>
      <c r="E3" s="68">
        <f>ROUND(AVERAGE(E4:E8),0)</f>
        <v>5</v>
      </c>
      <c r="F3" s="14"/>
      <c r="G3" s="14"/>
      <c r="H3" s="14"/>
      <c r="I3" s="14"/>
      <c r="J3" s="14"/>
      <c r="K3" s="14"/>
      <c r="L3" s="14"/>
      <c r="M3" s="14"/>
      <c r="N3" s="14"/>
      <c r="O3" s="14"/>
      <c r="P3" s="14"/>
      <c r="Q3" s="14"/>
      <c r="R3" s="14"/>
      <c r="S3" s="14"/>
      <c r="T3" s="14"/>
      <c r="U3" s="14"/>
      <c r="V3" s="14"/>
      <c r="W3" s="14"/>
      <c r="X3" s="14"/>
      <c r="Y3" s="14"/>
      <c r="Z3" s="14"/>
      <c r="AA3" s="14"/>
    </row>
    <row r="4" spans="1:27" ht="13.5" customHeight="1">
      <c r="A4" s="14"/>
      <c r="B4" s="14" t="s">
        <v>152</v>
      </c>
      <c r="C4" s="69">
        <f>C14</f>
        <v>2</v>
      </c>
      <c r="D4" s="69">
        <f>E14</f>
        <v>1</v>
      </c>
      <c r="E4" s="28">
        <f t="shared" ref="E4:E7" si="1">C4*D4</f>
        <v>2</v>
      </c>
      <c r="F4" s="71">
        <v>1</v>
      </c>
      <c r="G4" s="14"/>
      <c r="H4" s="14"/>
      <c r="I4" s="14"/>
      <c r="J4" s="14"/>
      <c r="K4" s="14"/>
      <c r="L4" s="14"/>
      <c r="M4" s="14"/>
      <c r="N4" s="14"/>
      <c r="O4" s="14"/>
      <c r="P4" s="14"/>
      <c r="Q4" s="14"/>
      <c r="R4" s="14"/>
      <c r="S4" s="14"/>
      <c r="T4" s="14"/>
      <c r="U4" s="14"/>
      <c r="V4" s="14"/>
      <c r="W4" s="14"/>
      <c r="X4" s="14"/>
      <c r="Y4" s="14"/>
      <c r="Z4" s="14"/>
      <c r="AA4" s="14"/>
    </row>
    <row r="5" spans="1:27" ht="13.5" customHeight="1">
      <c r="A5" s="14"/>
      <c r="B5" s="14" t="s">
        <v>153</v>
      </c>
      <c r="C5" s="69">
        <f>C45</f>
        <v>3</v>
      </c>
      <c r="D5" s="69">
        <f>E45</f>
        <v>2</v>
      </c>
      <c r="E5" s="28">
        <f t="shared" si="1"/>
        <v>6</v>
      </c>
      <c r="F5" s="71">
        <v>2</v>
      </c>
      <c r="G5" s="14"/>
      <c r="H5" s="14"/>
      <c r="I5" s="14"/>
      <c r="J5" s="14"/>
      <c r="K5" s="14"/>
      <c r="L5" s="14"/>
      <c r="M5" s="14"/>
      <c r="N5" s="14"/>
      <c r="O5" s="14"/>
      <c r="P5" s="14"/>
      <c r="Q5" s="14"/>
      <c r="R5" s="14"/>
      <c r="S5" s="14"/>
      <c r="T5" s="14"/>
      <c r="U5" s="14"/>
      <c r="V5" s="14"/>
      <c r="W5" s="14"/>
      <c r="X5" s="14"/>
      <c r="Y5" s="14"/>
      <c r="Z5" s="14"/>
      <c r="AA5" s="14"/>
    </row>
    <row r="6" spans="1:27" ht="13.5" customHeight="1">
      <c r="A6" s="14"/>
      <c r="B6" s="14" t="s">
        <v>24</v>
      </c>
      <c r="C6" s="77">
        <f>C76</f>
        <v>1</v>
      </c>
      <c r="D6" s="77">
        <f>E76</f>
        <v>4</v>
      </c>
      <c r="E6" s="78">
        <f t="shared" si="1"/>
        <v>4</v>
      </c>
      <c r="F6" s="71">
        <v>3</v>
      </c>
      <c r="G6" s="14"/>
      <c r="H6" s="14"/>
      <c r="I6" s="14"/>
      <c r="J6" s="14"/>
      <c r="K6" s="14"/>
      <c r="L6" s="14"/>
      <c r="M6" s="14"/>
      <c r="N6" s="14"/>
      <c r="O6" s="14"/>
      <c r="P6" s="14"/>
      <c r="Q6" s="14"/>
      <c r="R6" s="14"/>
      <c r="S6" s="14"/>
      <c r="T6" s="14"/>
      <c r="U6" s="14"/>
      <c r="V6" s="14"/>
      <c r="W6" s="14"/>
      <c r="X6" s="14"/>
      <c r="Y6" s="14"/>
      <c r="Z6" s="14"/>
      <c r="AA6" s="14"/>
    </row>
    <row r="7" spans="1:27" ht="13.5" customHeight="1">
      <c r="A7" s="14"/>
      <c r="B7" s="14" t="s">
        <v>154</v>
      </c>
      <c r="C7" s="69">
        <f>C107</f>
        <v>3</v>
      </c>
      <c r="D7" s="69">
        <f>E107</f>
        <v>3</v>
      </c>
      <c r="E7" s="28">
        <f t="shared" si="1"/>
        <v>9</v>
      </c>
      <c r="F7" s="71">
        <v>4</v>
      </c>
      <c r="G7" s="14"/>
      <c r="H7" s="14"/>
      <c r="I7" s="14"/>
      <c r="J7" s="14"/>
      <c r="K7" s="14"/>
      <c r="L7" s="14"/>
      <c r="M7" s="14"/>
      <c r="N7" s="14"/>
      <c r="O7" s="14"/>
      <c r="P7" s="14"/>
      <c r="Q7" s="14"/>
      <c r="R7" s="14"/>
      <c r="S7" s="14"/>
      <c r="T7" s="14"/>
      <c r="U7" s="14"/>
      <c r="V7" s="14"/>
      <c r="W7" s="14"/>
      <c r="X7" s="14"/>
      <c r="Y7" s="14"/>
      <c r="Z7" s="14"/>
      <c r="AA7" s="14"/>
    </row>
    <row r="8" spans="1:27" ht="13.5" customHeight="1">
      <c r="A8" s="14"/>
      <c r="B8" s="14"/>
      <c r="C8" s="60"/>
      <c r="D8" s="60"/>
      <c r="E8" s="60"/>
      <c r="F8" s="71"/>
      <c r="G8" s="14"/>
      <c r="H8" s="14"/>
      <c r="I8" s="14"/>
      <c r="J8" s="14"/>
      <c r="K8" s="14"/>
      <c r="L8" s="14"/>
      <c r="M8" s="14"/>
      <c r="N8" s="14"/>
      <c r="O8" s="14"/>
      <c r="P8" s="14"/>
      <c r="Q8" s="14"/>
      <c r="R8" s="14"/>
      <c r="S8" s="14"/>
      <c r="T8" s="14"/>
      <c r="U8" s="14"/>
      <c r="V8" s="14"/>
      <c r="W8" s="14"/>
      <c r="X8" s="14"/>
      <c r="Y8" s="14"/>
      <c r="Z8" s="14"/>
      <c r="AA8" s="14"/>
    </row>
    <row r="9" spans="1:27" ht="13.5"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row>
    <row r="10" spans="1:27" ht="13.5" customHeight="1">
      <c r="A10" s="71">
        <f>VLOOKUP(C10,B4:F8,5,FALSE)</f>
        <v>1</v>
      </c>
      <c r="B10" s="50" t="s">
        <v>171</v>
      </c>
      <c r="C10" s="53" t="s">
        <v>152</v>
      </c>
      <c r="D10" s="70" t="s">
        <v>172</v>
      </c>
      <c r="E10" s="14"/>
      <c r="F10" s="14"/>
      <c r="G10" s="14"/>
      <c r="H10" s="14"/>
      <c r="I10" s="14"/>
      <c r="J10" s="14"/>
      <c r="K10" s="14"/>
      <c r="L10" s="14"/>
      <c r="M10" s="14"/>
      <c r="N10" s="14"/>
      <c r="O10" s="14"/>
      <c r="P10" s="14"/>
      <c r="Q10" s="14"/>
      <c r="R10" s="14"/>
      <c r="S10" s="14"/>
      <c r="T10" s="14"/>
      <c r="U10" s="14"/>
      <c r="V10" s="14"/>
      <c r="W10" s="14"/>
      <c r="X10" s="14"/>
      <c r="Y10" s="14"/>
      <c r="Z10" s="14"/>
      <c r="AA10" s="14"/>
    </row>
    <row r="11" spans="1:27" ht="13.5"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row>
    <row r="12" spans="1:27" ht="13.5" customHeight="1">
      <c r="A12" s="14"/>
      <c r="B12" s="55" t="str">
        <f>B4</f>
        <v>Impact Metrics</v>
      </c>
      <c r="C12" s="56"/>
      <c r="D12" s="56"/>
      <c r="E12" s="56"/>
      <c r="F12" s="56"/>
      <c r="G12" s="56"/>
      <c r="H12" s="14"/>
      <c r="I12" s="14"/>
      <c r="J12" s="14"/>
      <c r="K12" s="14"/>
      <c r="L12" s="14"/>
      <c r="M12" s="14"/>
      <c r="N12" s="14"/>
      <c r="O12" s="14"/>
      <c r="P12" s="14"/>
      <c r="Q12" s="14"/>
      <c r="R12" s="14"/>
      <c r="S12" s="14"/>
      <c r="T12" s="14"/>
      <c r="U12" s="14"/>
      <c r="V12" s="14"/>
      <c r="W12" s="14"/>
      <c r="X12" s="14"/>
      <c r="Y12" s="14"/>
      <c r="Z12" s="14"/>
      <c r="AA12" s="14"/>
    </row>
    <row r="13" spans="1:27" ht="13.5"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row>
    <row r="14" spans="1:27" ht="13.5" customHeight="1">
      <c r="A14" s="14"/>
      <c r="B14" s="57" t="s">
        <v>0</v>
      </c>
      <c r="C14" s="58">
        <v>2</v>
      </c>
      <c r="D14" s="59" t="s">
        <v>1</v>
      </c>
      <c r="E14" s="58">
        <v>1</v>
      </c>
      <c r="F14" s="57" t="s">
        <v>2</v>
      </c>
      <c r="G14" s="58">
        <f>C14*E14</f>
        <v>2</v>
      </c>
      <c r="H14" s="14"/>
      <c r="I14" s="14"/>
      <c r="J14" s="14"/>
      <c r="K14" s="14"/>
      <c r="L14" s="14"/>
      <c r="M14" s="14"/>
      <c r="N14" s="14"/>
      <c r="O14" s="14"/>
      <c r="P14" s="14"/>
      <c r="Q14" s="14"/>
      <c r="R14" s="14"/>
      <c r="S14" s="14"/>
      <c r="T14" s="14"/>
      <c r="U14" s="14"/>
      <c r="V14" s="14"/>
      <c r="W14" s="14"/>
      <c r="X14" s="14"/>
      <c r="Y14" s="14"/>
      <c r="Z14" s="14"/>
      <c r="AA14" s="14"/>
    </row>
    <row r="15" spans="1:27" ht="13.5" customHeight="1">
      <c r="A15" s="14"/>
      <c r="B15" s="14"/>
      <c r="C15" s="14"/>
      <c r="D15" s="60"/>
      <c r="E15" s="14"/>
      <c r="F15" s="14"/>
      <c r="G15" s="14"/>
      <c r="H15" s="14"/>
      <c r="I15" s="14"/>
      <c r="J15" s="14"/>
      <c r="K15" s="14"/>
      <c r="L15" s="14"/>
      <c r="M15" s="14"/>
      <c r="N15" s="14"/>
      <c r="O15" s="14"/>
      <c r="P15" s="14"/>
      <c r="Q15" s="14"/>
      <c r="R15" s="14"/>
      <c r="S15" s="14"/>
      <c r="T15" s="14"/>
      <c r="U15" s="14"/>
      <c r="V15" s="14"/>
      <c r="W15" s="14"/>
      <c r="X15" s="14"/>
      <c r="Y15" s="14"/>
      <c r="Z15" s="14"/>
      <c r="AA15" s="14"/>
    </row>
    <row r="16" spans="1:27" ht="13.5" customHeight="1">
      <c r="A16" s="14"/>
      <c r="B16" s="89" t="s">
        <v>0</v>
      </c>
      <c r="C16" s="84"/>
      <c r="D16" s="92" t="s">
        <v>1</v>
      </c>
      <c r="E16" s="93"/>
      <c r="F16" s="14"/>
      <c r="G16" s="14"/>
      <c r="H16" s="14"/>
      <c r="I16" s="14"/>
      <c r="J16" s="14"/>
      <c r="K16" s="14"/>
      <c r="L16" s="14"/>
      <c r="M16" s="14"/>
      <c r="N16" s="14"/>
      <c r="O16" s="14"/>
      <c r="P16" s="14"/>
      <c r="Q16" s="14"/>
      <c r="R16" s="14"/>
      <c r="S16" s="14"/>
      <c r="T16" s="14"/>
      <c r="U16" s="14"/>
      <c r="V16" s="14"/>
      <c r="W16" s="14"/>
      <c r="X16" s="14"/>
      <c r="Y16" s="14"/>
      <c r="Z16" s="14"/>
      <c r="AA16" s="14"/>
    </row>
    <row r="17" spans="1:27" ht="155.25" customHeight="1">
      <c r="A17" s="14"/>
      <c r="B17" s="94" t="str">
        <f>VLOOKUP(C14,Instructions!B60:F63,1+MATCH(B12,Instructions!C59:F59,FALSE))</f>
        <v>▪ The firm has a firm understanding on at least one but not all of the social impact that it creates through understanding the breath (how many), depth (by how much), and social inclusion (percent women, youth, lower poverty).</v>
      </c>
      <c r="C17" s="95"/>
      <c r="D17" s="96" t="str">
        <f>VLOOKUP(E14,Instructions!B8:C11,2,FALSE)</f>
        <v>▪ At this stage of the company this aspect of the business is not needed.</v>
      </c>
      <c r="E17" s="97"/>
      <c r="F17" s="14"/>
      <c r="G17" s="14"/>
      <c r="H17" s="14"/>
      <c r="I17" s="14"/>
      <c r="J17" s="14"/>
      <c r="K17" s="14"/>
      <c r="L17" s="14"/>
      <c r="M17" s="14"/>
      <c r="N17" s="14"/>
      <c r="O17" s="14"/>
      <c r="P17" s="14"/>
      <c r="Q17" s="14"/>
      <c r="R17" s="14"/>
      <c r="S17" s="14"/>
      <c r="T17" s="14"/>
      <c r="U17" s="14"/>
      <c r="V17" s="14"/>
      <c r="W17" s="14"/>
      <c r="X17" s="14"/>
      <c r="Y17" s="14"/>
      <c r="Z17" s="14"/>
      <c r="AA17" s="14"/>
    </row>
    <row r="18" spans="1:27" ht="13.5"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row>
    <row r="19" spans="1:27" ht="13.5" customHeight="1">
      <c r="A19" s="14"/>
      <c r="B19" s="61" t="s">
        <v>173</v>
      </c>
      <c r="C19" s="62"/>
      <c r="D19" s="62"/>
      <c r="E19" s="62"/>
      <c r="F19" s="62"/>
      <c r="G19" s="62"/>
      <c r="H19" s="14"/>
      <c r="I19" s="14"/>
      <c r="J19" s="14"/>
      <c r="K19" s="14"/>
      <c r="L19" s="14"/>
      <c r="M19" s="14"/>
      <c r="N19" s="14"/>
      <c r="O19" s="14"/>
      <c r="P19" s="14"/>
      <c r="Q19" s="14"/>
      <c r="R19" s="14"/>
      <c r="S19" s="14"/>
      <c r="T19" s="14"/>
      <c r="U19" s="14"/>
      <c r="V19" s="14"/>
      <c r="W19" s="14"/>
      <c r="X19" s="14"/>
      <c r="Y19" s="14"/>
      <c r="Z19" s="14"/>
      <c r="AA19" s="14"/>
    </row>
    <row r="20" spans="1:27" ht="13.5" customHeight="1">
      <c r="A20" s="14"/>
      <c r="B20" s="73" t="s">
        <v>219</v>
      </c>
      <c r="C20" s="14"/>
      <c r="D20" s="14"/>
      <c r="E20" s="14"/>
      <c r="F20" s="14"/>
      <c r="G20" s="14"/>
      <c r="H20" s="14"/>
      <c r="I20" s="14"/>
      <c r="J20" s="14"/>
      <c r="K20" s="14"/>
      <c r="L20" s="14"/>
      <c r="M20" s="14"/>
      <c r="N20" s="14"/>
      <c r="O20" s="14"/>
      <c r="P20" s="14"/>
      <c r="Q20" s="14"/>
      <c r="R20" s="14"/>
      <c r="S20" s="14"/>
      <c r="T20" s="14"/>
      <c r="U20" s="14"/>
      <c r="V20" s="14"/>
      <c r="W20" s="14"/>
      <c r="X20" s="14"/>
      <c r="Y20" s="14"/>
      <c r="Z20" s="14"/>
      <c r="AA20" s="14"/>
    </row>
    <row r="21" spans="1:27" ht="13.5" customHeight="1">
      <c r="A21" s="14"/>
      <c r="B21" s="73" t="s">
        <v>220</v>
      </c>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spans="1:27" ht="13.5" customHeight="1">
      <c r="A22" s="14"/>
      <c r="B22" s="73" t="s">
        <v>221</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row>
    <row r="23" spans="1:27" ht="13.5" customHeight="1">
      <c r="A23" s="14"/>
      <c r="B23" s="63"/>
      <c r="C23" s="14"/>
      <c r="D23" s="14"/>
      <c r="E23" s="14"/>
      <c r="F23" s="14"/>
      <c r="G23" s="14"/>
      <c r="H23" s="14"/>
      <c r="I23" s="14"/>
      <c r="J23" s="14"/>
      <c r="K23" s="14"/>
      <c r="L23" s="14"/>
      <c r="M23" s="14"/>
      <c r="N23" s="14"/>
      <c r="O23" s="14"/>
      <c r="P23" s="14"/>
      <c r="Q23" s="14"/>
      <c r="R23" s="14"/>
      <c r="S23" s="14"/>
      <c r="T23" s="14"/>
      <c r="U23" s="14"/>
      <c r="V23" s="14"/>
      <c r="W23" s="14"/>
      <c r="X23" s="14"/>
      <c r="Y23" s="14"/>
      <c r="Z23" s="14"/>
      <c r="AA23" s="14"/>
    </row>
    <row r="24" spans="1:27" ht="13.5" customHeight="1">
      <c r="A24" s="14"/>
      <c r="B24" s="63"/>
      <c r="C24" s="14"/>
      <c r="D24" s="14"/>
      <c r="E24" s="14"/>
      <c r="F24" s="14"/>
      <c r="G24" s="14"/>
      <c r="H24" s="14"/>
      <c r="I24" s="14"/>
      <c r="J24" s="14"/>
      <c r="K24" s="14"/>
      <c r="L24" s="14"/>
      <c r="M24" s="14"/>
      <c r="N24" s="14"/>
      <c r="O24" s="14"/>
      <c r="P24" s="14"/>
      <c r="Q24" s="14"/>
      <c r="R24" s="14"/>
      <c r="S24" s="14"/>
      <c r="T24" s="14"/>
      <c r="U24" s="14"/>
      <c r="V24" s="14"/>
      <c r="W24" s="14"/>
      <c r="X24" s="14"/>
      <c r="Y24" s="14"/>
      <c r="Z24" s="14"/>
      <c r="AA24" s="14"/>
    </row>
    <row r="25" spans="1:27" ht="13.5" customHeight="1">
      <c r="A25" s="14"/>
      <c r="B25" s="63"/>
      <c r="C25" s="14"/>
      <c r="D25" s="14"/>
      <c r="E25" s="14"/>
      <c r="F25" s="14"/>
      <c r="G25" s="14"/>
      <c r="H25" s="14"/>
      <c r="I25" s="14"/>
      <c r="J25" s="14"/>
      <c r="K25" s="14"/>
      <c r="L25" s="14"/>
      <c r="M25" s="14"/>
      <c r="N25" s="14"/>
      <c r="O25" s="14"/>
      <c r="P25" s="14"/>
      <c r="Q25" s="14"/>
      <c r="R25" s="14"/>
      <c r="S25" s="14"/>
      <c r="T25" s="14"/>
      <c r="U25" s="14"/>
      <c r="V25" s="14"/>
      <c r="W25" s="14"/>
      <c r="X25" s="14"/>
      <c r="Y25" s="14"/>
      <c r="Z25" s="14"/>
      <c r="AA25" s="14"/>
    </row>
    <row r="26" spans="1:27" ht="13.5" customHeight="1">
      <c r="A26" s="14"/>
      <c r="B26" s="14"/>
      <c r="C26" s="64"/>
      <c r="D26" s="14"/>
      <c r="E26" s="14"/>
      <c r="F26" s="14"/>
      <c r="G26" s="14"/>
      <c r="H26" s="14"/>
      <c r="I26" s="14"/>
      <c r="J26" s="14"/>
      <c r="K26" s="14"/>
      <c r="L26" s="14"/>
      <c r="M26" s="14"/>
      <c r="N26" s="14"/>
      <c r="O26" s="14"/>
      <c r="P26" s="14"/>
      <c r="Q26" s="14"/>
      <c r="R26" s="14"/>
      <c r="S26" s="14"/>
      <c r="T26" s="14"/>
      <c r="U26" s="14"/>
      <c r="V26" s="14"/>
      <c r="W26" s="14"/>
      <c r="X26" s="14"/>
      <c r="Y26" s="14"/>
      <c r="Z26" s="14"/>
      <c r="AA26" s="14"/>
    </row>
    <row r="27" spans="1:27" ht="13.5" customHeight="1">
      <c r="A27" s="14"/>
      <c r="B27" s="14"/>
      <c r="C27" s="64"/>
      <c r="D27" s="14"/>
      <c r="E27" s="14"/>
      <c r="F27" s="14"/>
      <c r="G27" s="14"/>
      <c r="H27" s="14"/>
      <c r="I27" s="14"/>
      <c r="J27" s="14"/>
      <c r="K27" s="14"/>
      <c r="L27" s="14"/>
      <c r="M27" s="14"/>
      <c r="N27" s="14"/>
      <c r="O27" s="14"/>
      <c r="P27" s="14"/>
      <c r="Q27" s="14"/>
      <c r="R27" s="14"/>
      <c r="S27" s="14"/>
      <c r="T27" s="14"/>
      <c r="U27" s="14"/>
      <c r="V27" s="14"/>
      <c r="W27" s="14"/>
      <c r="X27" s="14"/>
      <c r="Y27" s="14"/>
      <c r="Z27" s="14"/>
      <c r="AA27" s="14"/>
    </row>
    <row r="28" spans="1:27" ht="13.5" customHeight="1">
      <c r="A28" s="14"/>
      <c r="B28" s="61" t="s">
        <v>181</v>
      </c>
      <c r="C28" s="62"/>
      <c r="D28" s="62"/>
      <c r="E28" s="62"/>
      <c r="F28" s="62"/>
      <c r="G28" s="62"/>
      <c r="H28" s="14"/>
      <c r="I28" s="14"/>
      <c r="J28" s="14"/>
      <c r="K28" s="14"/>
      <c r="L28" s="14"/>
      <c r="M28" s="14"/>
      <c r="N28" s="14"/>
      <c r="O28" s="14"/>
      <c r="P28" s="14"/>
      <c r="Q28" s="14"/>
      <c r="R28" s="14"/>
      <c r="S28" s="14"/>
      <c r="T28" s="14"/>
      <c r="U28" s="14"/>
      <c r="V28" s="14"/>
      <c r="W28" s="14"/>
      <c r="X28" s="14"/>
      <c r="Y28" s="14"/>
      <c r="Z28" s="14"/>
      <c r="AA28" s="14"/>
    </row>
    <row r="29" spans="1:27" ht="13.5"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row>
    <row r="30" spans="1:27" ht="13.5" customHeight="1">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row>
    <row r="31" spans="1:27" ht="13.5" customHeight="1">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row>
    <row r="32" spans="1:27" ht="13.5" customHeight="1">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row>
    <row r="33" spans="1:27" ht="13.5" customHeight="1">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row>
    <row r="34" spans="1:27" ht="13.5"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spans="1:27" ht="13.5" customHeight="1">
      <c r="A35" s="14"/>
      <c r="B35" s="61" t="s">
        <v>182</v>
      </c>
      <c r="C35" s="62"/>
      <c r="D35" s="62"/>
      <c r="E35" s="62"/>
      <c r="F35" s="62"/>
      <c r="G35" s="62"/>
      <c r="H35" s="14"/>
      <c r="I35" s="14"/>
      <c r="J35" s="14"/>
      <c r="K35" s="14"/>
      <c r="L35" s="14"/>
      <c r="M35" s="14"/>
      <c r="N35" s="14"/>
      <c r="O35" s="14"/>
      <c r="P35" s="14"/>
      <c r="Q35" s="14"/>
      <c r="R35" s="14"/>
      <c r="S35" s="14"/>
      <c r="T35" s="14"/>
      <c r="U35" s="14"/>
      <c r="V35" s="14"/>
      <c r="W35" s="14"/>
      <c r="X35" s="14"/>
      <c r="Y35" s="14"/>
      <c r="Z35" s="14"/>
      <c r="AA35" s="14"/>
    </row>
    <row r="36" spans="1:27" ht="13.5" customHeight="1">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row>
    <row r="37" spans="1:27" ht="13.5" customHeight="1">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row>
    <row r="38" spans="1:27" ht="13.5" customHeight="1">
      <c r="A38" s="14"/>
      <c r="B38" s="50"/>
      <c r="C38" s="14"/>
      <c r="D38" s="14"/>
      <c r="E38" s="14"/>
      <c r="F38" s="14"/>
      <c r="G38" s="14"/>
      <c r="H38" s="14"/>
      <c r="I38" s="14"/>
      <c r="J38" s="14"/>
      <c r="K38" s="14"/>
      <c r="L38" s="14"/>
      <c r="M38" s="14"/>
      <c r="N38" s="14"/>
      <c r="O38" s="14"/>
      <c r="P38" s="14"/>
      <c r="Q38" s="14"/>
      <c r="R38" s="14"/>
      <c r="S38" s="14"/>
      <c r="T38" s="14"/>
      <c r="U38" s="14"/>
      <c r="V38" s="14"/>
      <c r="W38" s="14"/>
      <c r="X38" s="14"/>
      <c r="Y38" s="14"/>
      <c r="Z38" s="14"/>
      <c r="AA38" s="14"/>
    </row>
    <row r="39" spans="1:27" ht="13.5" customHeight="1">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row>
    <row r="40" spans="1:27" ht="13.5" customHeight="1">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row>
    <row r="41" spans="1:27" ht="13.5" customHeight="1">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row>
    <row r="42" spans="1:27" ht="13.5" customHeight="1">
      <c r="A42" s="14"/>
      <c r="B42" s="56" t="s">
        <v>183</v>
      </c>
      <c r="C42" s="56"/>
      <c r="D42" s="56"/>
      <c r="E42" s="56"/>
      <c r="F42" s="56"/>
      <c r="G42" s="56"/>
      <c r="H42" s="14"/>
      <c r="I42" s="14"/>
      <c r="J42" s="14"/>
      <c r="K42" s="14"/>
      <c r="L42" s="14"/>
      <c r="M42" s="14"/>
      <c r="N42" s="14"/>
      <c r="O42" s="14"/>
      <c r="P42" s="14"/>
      <c r="Q42" s="14"/>
      <c r="R42" s="14"/>
      <c r="S42" s="14"/>
      <c r="T42" s="14"/>
      <c r="U42" s="14"/>
      <c r="V42" s="14"/>
      <c r="W42" s="14"/>
      <c r="X42" s="14"/>
      <c r="Y42" s="14"/>
      <c r="Z42" s="14"/>
      <c r="AA42" s="14"/>
    </row>
    <row r="43" spans="1:27" ht="13.5" hidden="1" customHeight="1">
      <c r="A43" s="14"/>
      <c r="B43" s="55" t="str">
        <f>B5</f>
        <v>Technology</v>
      </c>
      <c r="C43" s="56"/>
      <c r="D43" s="56"/>
      <c r="E43" s="56"/>
      <c r="F43" s="56"/>
      <c r="G43" s="56"/>
      <c r="H43" s="14"/>
      <c r="I43" s="14"/>
      <c r="J43" s="14"/>
      <c r="K43" s="14"/>
      <c r="L43" s="14"/>
      <c r="M43" s="14"/>
      <c r="N43" s="14"/>
      <c r="O43" s="14"/>
      <c r="P43" s="14"/>
      <c r="Q43" s="14"/>
      <c r="R43" s="14"/>
      <c r="S43" s="14"/>
      <c r="T43" s="14"/>
      <c r="U43" s="14"/>
      <c r="V43" s="14"/>
      <c r="W43" s="14"/>
      <c r="X43" s="14"/>
      <c r="Y43" s="14"/>
      <c r="Z43" s="14"/>
      <c r="AA43" s="14"/>
    </row>
    <row r="44" spans="1:27" ht="13.5" hidden="1" customHeight="1">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row>
    <row r="45" spans="1:27" ht="13.5" hidden="1" customHeight="1">
      <c r="A45" s="14"/>
      <c r="B45" s="57" t="s">
        <v>0</v>
      </c>
      <c r="C45" s="58">
        <v>3</v>
      </c>
      <c r="D45" s="59" t="s">
        <v>1</v>
      </c>
      <c r="E45" s="58">
        <v>2</v>
      </c>
      <c r="F45" s="57" t="s">
        <v>2</v>
      </c>
      <c r="G45" s="58">
        <f>C45*E45</f>
        <v>6</v>
      </c>
      <c r="H45" s="14"/>
      <c r="I45" s="14"/>
      <c r="J45" s="14"/>
      <c r="K45" s="14"/>
      <c r="L45" s="14"/>
      <c r="M45" s="14"/>
      <c r="N45" s="14"/>
      <c r="O45" s="14"/>
      <c r="P45" s="14"/>
      <c r="Q45" s="14"/>
      <c r="R45" s="14"/>
      <c r="S45" s="14"/>
      <c r="T45" s="14"/>
      <c r="U45" s="14"/>
      <c r="V45" s="14"/>
      <c r="W45" s="14"/>
      <c r="X45" s="14"/>
      <c r="Y45" s="14"/>
      <c r="Z45" s="14"/>
      <c r="AA45" s="14"/>
    </row>
    <row r="46" spans="1:27" ht="13.5" hidden="1" customHeight="1">
      <c r="A46" s="14"/>
      <c r="B46" s="14"/>
      <c r="C46" s="14"/>
      <c r="D46" s="60"/>
      <c r="E46" s="14"/>
      <c r="F46" s="14"/>
      <c r="G46" s="14"/>
      <c r="H46" s="14"/>
      <c r="I46" s="14"/>
      <c r="J46" s="14"/>
      <c r="K46" s="14"/>
      <c r="L46" s="14"/>
      <c r="M46" s="14"/>
      <c r="N46" s="14"/>
      <c r="O46" s="14"/>
      <c r="P46" s="14"/>
      <c r="Q46" s="14"/>
      <c r="R46" s="14"/>
      <c r="S46" s="14"/>
      <c r="T46" s="14"/>
      <c r="U46" s="14"/>
      <c r="V46" s="14"/>
      <c r="W46" s="14"/>
      <c r="X46" s="14"/>
      <c r="Y46" s="14"/>
      <c r="Z46" s="14"/>
      <c r="AA46" s="14"/>
    </row>
    <row r="47" spans="1:27" ht="13.5" hidden="1" customHeight="1">
      <c r="A47" s="14"/>
      <c r="B47" s="89" t="s">
        <v>0</v>
      </c>
      <c r="C47" s="84"/>
      <c r="D47" s="60"/>
      <c r="E47" s="14"/>
      <c r="F47" s="14"/>
      <c r="G47" s="14"/>
      <c r="H47" s="14"/>
      <c r="I47" s="14"/>
      <c r="J47" s="14"/>
      <c r="K47" s="14"/>
      <c r="L47" s="14"/>
      <c r="M47" s="14"/>
      <c r="N47" s="14"/>
      <c r="O47" s="14"/>
      <c r="P47" s="14"/>
      <c r="Q47" s="14"/>
      <c r="R47" s="14"/>
      <c r="S47" s="14"/>
      <c r="T47" s="14"/>
      <c r="U47" s="14"/>
      <c r="V47" s="14"/>
      <c r="W47" s="14"/>
      <c r="X47" s="14"/>
      <c r="Y47" s="14"/>
      <c r="Z47" s="14"/>
      <c r="AA47" s="14"/>
    </row>
    <row r="48" spans="1:27" ht="99" hidden="1" customHeight="1">
      <c r="A48" s="14"/>
      <c r="B48" s="88" t="str">
        <f>VLOOKUP(C45,Instructions!B60:F63,MATCH(Impact!B43,Instructions!C59:F59,FALSE)+1,FALSE)</f>
        <v>▪ Social impact teams rely heavily  on basic systems of spreadsheets to compensate for underdeveloped social impact data collection systems.
▪ Accuracy is the primacy focus of people who monitor social impact data.</v>
      </c>
      <c r="C48" s="84"/>
      <c r="D48" s="90" t="str">
        <f>VLOOKUP(E45,Instructions!B8:C11,2,FALSE)</f>
        <v>▪ This aspect of the business is not critical to the success of the business</v>
      </c>
      <c r="E48" s="84"/>
      <c r="F48" s="14"/>
      <c r="G48" s="14"/>
      <c r="H48" s="14"/>
      <c r="I48" s="14"/>
      <c r="J48" s="14"/>
      <c r="K48" s="14"/>
      <c r="L48" s="14"/>
      <c r="M48" s="14"/>
      <c r="N48" s="14"/>
      <c r="O48" s="14"/>
      <c r="P48" s="14"/>
      <c r="Q48" s="14"/>
      <c r="R48" s="14"/>
      <c r="S48" s="14"/>
      <c r="T48" s="14"/>
      <c r="U48" s="14"/>
      <c r="V48" s="14"/>
      <c r="W48" s="14"/>
      <c r="X48" s="14"/>
      <c r="Y48" s="14"/>
      <c r="Z48" s="14"/>
      <c r="AA48" s="14"/>
    </row>
    <row r="49" spans="1:27" ht="13.5" hidden="1" customHeight="1">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row>
    <row r="50" spans="1:27" ht="13.5" hidden="1" customHeight="1">
      <c r="A50" s="14"/>
      <c r="B50" s="61" t="s">
        <v>173</v>
      </c>
      <c r="C50" s="62"/>
      <c r="D50" s="62"/>
      <c r="E50" s="62"/>
      <c r="F50" s="62"/>
      <c r="G50" s="62"/>
      <c r="H50" s="14"/>
      <c r="I50" s="14"/>
      <c r="J50" s="14"/>
      <c r="K50" s="14"/>
      <c r="L50" s="14"/>
      <c r="M50" s="14"/>
      <c r="N50" s="14"/>
      <c r="O50" s="14"/>
      <c r="P50" s="14"/>
      <c r="Q50" s="14"/>
      <c r="R50" s="14"/>
      <c r="S50" s="14"/>
      <c r="T50" s="14"/>
      <c r="U50" s="14"/>
      <c r="V50" s="14"/>
      <c r="W50" s="14"/>
      <c r="X50" s="14"/>
      <c r="Y50" s="14"/>
      <c r="Z50" s="14"/>
      <c r="AA50" s="14"/>
    </row>
    <row r="51" spans="1:27" ht="13.5" hidden="1" customHeight="1">
      <c r="A51" s="14"/>
      <c r="B51" s="63"/>
      <c r="C51" s="14"/>
      <c r="D51" s="14"/>
      <c r="E51" s="14"/>
      <c r="F51" s="14"/>
      <c r="G51" s="14"/>
      <c r="H51" s="14"/>
      <c r="I51" s="14"/>
      <c r="J51" s="14"/>
      <c r="K51" s="14"/>
      <c r="L51" s="14"/>
      <c r="M51" s="14"/>
      <c r="N51" s="14"/>
      <c r="O51" s="14"/>
      <c r="P51" s="14"/>
      <c r="Q51" s="14"/>
      <c r="R51" s="14"/>
      <c r="S51" s="14"/>
      <c r="T51" s="14"/>
      <c r="U51" s="14"/>
      <c r="V51" s="14"/>
      <c r="W51" s="14"/>
      <c r="X51" s="14"/>
      <c r="Y51" s="14"/>
      <c r="Z51" s="14"/>
      <c r="AA51" s="14"/>
    </row>
    <row r="52" spans="1:27" ht="13.5" hidden="1" customHeight="1">
      <c r="A52" s="14"/>
      <c r="B52" s="63"/>
      <c r="C52" s="14"/>
      <c r="D52" s="14"/>
      <c r="E52" s="14"/>
      <c r="F52" s="14"/>
      <c r="G52" s="14"/>
      <c r="H52" s="14"/>
      <c r="I52" s="14"/>
      <c r="J52" s="14"/>
      <c r="K52" s="14"/>
      <c r="L52" s="14"/>
      <c r="M52" s="14"/>
      <c r="N52" s="14"/>
      <c r="O52" s="14"/>
      <c r="P52" s="14"/>
      <c r="Q52" s="14"/>
      <c r="R52" s="14"/>
      <c r="S52" s="14"/>
      <c r="T52" s="14"/>
      <c r="U52" s="14"/>
      <c r="V52" s="14"/>
      <c r="W52" s="14"/>
      <c r="X52" s="14"/>
      <c r="Y52" s="14"/>
      <c r="Z52" s="14"/>
      <c r="AA52" s="14"/>
    </row>
    <row r="53" spans="1:27" ht="13.5" hidden="1" customHeight="1">
      <c r="A53" s="14"/>
      <c r="B53" s="63"/>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spans="1:27" ht="13.5" hidden="1" customHeight="1">
      <c r="A54" s="14"/>
      <c r="B54" s="63"/>
      <c r="C54" s="14"/>
      <c r="D54" s="14"/>
      <c r="E54" s="14"/>
      <c r="F54" s="14"/>
      <c r="G54" s="14"/>
      <c r="H54" s="14"/>
      <c r="I54" s="14"/>
      <c r="J54" s="14"/>
      <c r="K54" s="14"/>
      <c r="L54" s="14"/>
      <c r="M54" s="14"/>
      <c r="N54" s="14"/>
      <c r="O54" s="14"/>
      <c r="P54" s="14"/>
      <c r="Q54" s="14"/>
      <c r="R54" s="14"/>
      <c r="S54" s="14"/>
      <c r="T54" s="14"/>
      <c r="U54" s="14"/>
      <c r="V54" s="14"/>
      <c r="W54" s="14"/>
      <c r="X54" s="14"/>
      <c r="Y54" s="14"/>
      <c r="Z54" s="14"/>
      <c r="AA54" s="14"/>
    </row>
    <row r="55" spans="1:27" ht="13.5" hidden="1" customHeight="1">
      <c r="A55" s="14"/>
      <c r="B55" s="63"/>
      <c r="C55" s="14"/>
      <c r="D55" s="14"/>
      <c r="E55" s="14"/>
      <c r="F55" s="14"/>
      <c r="G55" s="14"/>
      <c r="H55" s="14"/>
      <c r="I55" s="14"/>
      <c r="J55" s="14"/>
      <c r="K55" s="14"/>
      <c r="L55" s="14"/>
      <c r="M55" s="14"/>
      <c r="N55" s="14"/>
      <c r="O55" s="14"/>
      <c r="P55" s="14"/>
      <c r="Q55" s="14"/>
      <c r="R55" s="14"/>
      <c r="S55" s="14"/>
      <c r="T55" s="14"/>
      <c r="U55" s="14"/>
      <c r="V55" s="14"/>
      <c r="W55" s="14"/>
      <c r="X55" s="14"/>
      <c r="Y55" s="14"/>
      <c r="Z55" s="14"/>
      <c r="AA55" s="14"/>
    </row>
    <row r="56" spans="1:27" ht="13.5" hidden="1" customHeight="1">
      <c r="A56" s="14"/>
      <c r="B56" s="63"/>
      <c r="C56" s="14"/>
      <c r="D56" s="14"/>
      <c r="E56" s="14"/>
      <c r="F56" s="14"/>
      <c r="G56" s="14"/>
      <c r="H56" s="14"/>
      <c r="I56" s="14"/>
      <c r="J56" s="14"/>
      <c r="K56" s="14"/>
      <c r="L56" s="14"/>
      <c r="M56" s="14"/>
      <c r="N56" s="14"/>
      <c r="O56" s="14"/>
      <c r="P56" s="14"/>
      <c r="Q56" s="14"/>
      <c r="R56" s="14"/>
      <c r="S56" s="14"/>
      <c r="T56" s="14"/>
      <c r="U56" s="14"/>
      <c r="V56" s="14"/>
      <c r="W56" s="14"/>
      <c r="X56" s="14"/>
      <c r="Y56" s="14"/>
      <c r="Z56" s="14"/>
      <c r="AA56" s="14"/>
    </row>
    <row r="57" spans="1:27" ht="13.5" hidden="1" customHeight="1">
      <c r="A57" s="14"/>
      <c r="B57" s="14"/>
      <c r="C57" s="64"/>
      <c r="D57" s="14"/>
      <c r="E57" s="14"/>
      <c r="F57" s="14"/>
      <c r="G57" s="14"/>
      <c r="H57" s="14"/>
      <c r="I57" s="14"/>
      <c r="J57" s="14"/>
      <c r="K57" s="14"/>
      <c r="L57" s="14"/>
      <c r="M57" s="14"/>
      <c r="N57" s="14"/>
      <c r="O57" s="14"/>
      <c r="P57" s="14"/>
      <c r="Q57" s="14"/>
      <c r="R57" s="14"/>
      <c r="S57" s="14"/>
      <c r="T57" s="14"/>
      <c r="U57" s="14"/>
      <c r="V57" s="14"/>
      <c r="W57" s="14"/>
      <c r="X57" s="14"/>
      <c r="Y57" s="14"/>
      <c r="Z57" s="14"/>
      <c r="AA57" s="14"/>
    </row>
    <row r="58" spans="1:27" ht="13.5" hidden="1" customHeight="1">
      <c r="A58" s="14"/>
      <c r="B58" s="14"/>
      <c r="C58" s="64"/>
      <c r="D58" s="14"/>
      <c r="E58" s="14"/>
      <c r="F58" s="14"/>
      <c r="G58" s="14"/>
      <c r="H58" s="14"/>
      <c r="I58" s="14"/>
      <c r="J58" s="14"/>
      <c r="K58" s="14"/>
      <c r="L58" s="14"/>
      <c r="M58" s="14"/>
      <c r="N58" s="14"/>
      <c r="O58" s="14"/>
      <c r="P58" s="14"/>
      <c r="Q58" s="14"/>
      <c r="R58" s="14"/>
      <c r="S58" s="14"/>
      <c r="T58" s="14"/>
      <c r="U58" s="14"/>
      <c r="V58" s="14"/>
      <c r="W58" s="14"/>
      <c r="X58" s="14"/>
      <c r="Y58" s="14"/>
      <c r="Z58" s="14"/>
      <c r="AA58" s="14"/>
    </row>
    <row r="59" spans="1:27" ht="13.5" hidden="1" customHeight="1">
      <c r="A59" s="14"/>
      <c r="B59" s="61" t="s">
        <v>181</v>
      </c>
      <c r="C59" s="62"/>
      <c r="D59" s="62"/>
      <c r="E59" s="62"/>
      <c r="F59" s="62"/>
      <c r="G59" s="62"/>
      <c r="H59" s="14"/>
      <c r="I59" s="14"/>
      <c r="J59" s="14"/>
      <c r="K59" s="14"/>
      <c r="L59" s="14"/>
      <c r="M59" s="14"/>
      <c r="N59" s="14"/>
      <c r="O59" s="14"/>
      <c r="P59" s="14"/>
      <c r="Q59" s="14"/>
      <c r="R59" s="14"/>
      <c r="S59" s="14"/>
      <c r="T59" s="14"/>
      <c r="U59" s="14"/>
      <c r="V59" s="14"/>
      <c r="W59" s="14"/>
      <c r="X59" s="14"/>
      <c r="Y59" s="14"/>
      <c r="Z59" s="14"/>
      <c r="AA59" s="14"/>
    </row>
    <row r="60" spans="1:27" ht="13.5" hidden="1" customHeight="1">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row>
    <row r="61" spans="1:27" ht="13.5" hidden="1"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spans="1:27" ht="13.5" hidden="1" customHeight="1">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row>
    <row r="63" spans="1:27" ht="13.5" hidden="1" customHeight="1">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row>
    <row r="64" spans="1:27" ht="13.5" hidden="1" customHeight="1">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row>
    <row r="65" spans="1:27" ht="13.5" hidden="1"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spans="1:27" ht="13.5" hidden="1" customHeight="1">
      <c r="A66" s="14"/>
      <c r="B66" s="61" t="s">
        <v>182</v>
      </c>
      <c r="C66" s="62"/>
      <c r="D66" s="62"/>
      <c r="E66" s="62"/>
      <c r="F66" s="62"/>
      <c r="G66" s="62"/>
      <c r="H66" s="14"/>
      <c r="I66" s="14"/>
      <c r="J66" s="14"/>
      <c r="K66" s="14"/>
      <c r="L66" s="14"/>
      <c r="M66" s="14"/>
      <c r="N66" s="14"/>
      <c r="O66" s="14"/>
      <c r="P66" s="14"/>
      <c r="Q66" s="14"/>
      <c r="R66" s="14"/>
      <c r="S66" s="14"/>
      <c r="T66" s="14"/>
      <c r="U66" s="14"/>
      <c r="V66" s="14"/>
      <c r="W66" s="14"/>
      <c r="X66" s="14"/>
      <c r="Y66" s="14"/>
      <c r="Z66" s="14"/>
      <c r="AA66" s="14"/>
    </row>
    <row r="67" spans="1:27" ht="13.5" hidden="1" customHeight="1">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spans="1:27" ht="13.5" hidden="1" customHeight="1">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spans="1:27" ht="13.5" hidden="1" customHeight="1">
      <c r="A69" s="14"/>
      <c r="B69" s="50"/>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spans="1:27" ht="13.5" hidden="1"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spans="1:27" ht="13.5" hidden="1"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spans="1:27" ht="13.5" hidden="1"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spans="1:27" ht="13.5" hidden="1" customHeight="1">
      <c r="A73" s="14"/>
      <c r="B73" s="56" t="s">
        <v>183</v>
      </c>
      <c r="C73" s="56"/>
      <c r="D73" s="56"/>
      <c r="E73" s="56"/>
      <c r="F73" s="56"/>
      <c r="G73" s="56"/>
      <c r="H73" s="14"/>
      <c r="I73" s="14"/>
      <c r="J73" s="14"/>
      <c r="K73" s="14"/>
      <c r="L73" s="14"/>
      <c r="M73" s="14"/>
      <c r="N73" s="14"/>
      <c r="O73" s="14"/>
      <c r="P73" s="14"/>
      <c r="Q73" s="14"/>
      <c r="R73" s="14"/>
      <c r="S73" s="14"/>
      <c r="T73" s="14"/>
      <c r="U73" s="14"/>
      <c r="V73" s="14"/>
      <c r="W73" s="14"/>
      <c r="X73" s="14"/>
      <c r="Y73" s="14"/>
      <c r="Z73" s="14"/>
      <c r="AA73" s="14"/>
    </row>
    <row r="74" spans="1:27" ht="13.5" hidden="1" customHeight="1">
      <c r="A74" s="14"/>
      <c r="B74" s="55" t="str">
        <f>B6</f>
        <v>Data and Analytics</v>
      </c>
      <c r="C74" s="56"/>
      <c r="D74" s="56"/>
      <c r="E74" s="56"/>
      <c r="F74" s="56"/>
      <c r="G74" s="56"/>
      <c r="H74" s="14"/>
      <c r="I74" s="14"/>
      <c r="J74" s="14"/>
      <c r="K74" s="14"/>
      <c r="L74" s="14"/>
      <c r="M74" s="14"/>
      <c r="N74" s="14"/>
      <c r="O74" s="14"/>
      <c r="P74" s="14"/>
      <c r="Q74" s="14"/>
      <c r="R74" s="14"/>
      <c r="S74" s="14"/>
      <c r="T74" s="14"/>
      <c r="U74" s="14"/>
      <c r="V74" s="14"/>
      <c r="W74" s="14"/>
      <c r="X74" s="14"/>
      <c r="Y74" s="14"/>
      <c r="Z74" s="14"/>
      <c r="AA74" s="14"/>
    </row>
    <row r="75" spans="1:27" ht="13.5" hidden="1"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spans="1:27" ht="13.5" hidden="1" customHeight="1">
      <c r="A76" s="14"/>
      <c r="B76" s="57" t="s">
        <v>0</v>
      </c>
      <c r="C76" s="58">
        <v>1</v>
      </c>
      <c r="D76" s="59" t="s">
        <v>1</v>
      </c>
      <c r="E76" s="58">
        <v>4</v>
      </c>
      <c r="F76" s="57" t="s">
        <v>2</v>
      </c>
      <c r="G76" s="58">
        <f>C76*E76</f>
        <v>4</v>
      </c>
      <c r="H76" s="14"/>
      <c r="I76" s="14"/>
      <c r="J76" s="14"/>
      <c r="K76" s="14"/>
      <c r="L76" s="14"/>
      <c r="M76" s="14"/>
      <c r="N76" s="14"/>
      <c r="O76" s="14"/>
      <c r="P76" s="14"/>
      <c r="Q76" s="14"/>
      <c r="R76" s="14"/>
      <c r="S76" s="14"/>
      <c r="T76" s="14"/>
      <c r="U76" s="14"/>
      <c r="V76" s="14"/>
      <c r="W76" s="14"/>
      <c r="X76" s="14"/>
      <c r="Y76" s="14"/>
      <c r="Z76" s="14"/>
      <c r="AA76" s="14"/>
    </row>
    <row r="77" spans="1:27" ht="13.5" hidden="1" customHeight="1">
      <c r="A77" s="14"/>
      <c r="B77" s="14"/>
      <c r="C77" s="14"/>
      <c r="D77" s="60"/>
      <c r="E77" s="14"/>
      <c r="F77" s="14"/>
      <c r="G77" s="14"/>
      <c r="H77" s="14"/>
      <c r="I77" s="14"/>
      <c r="J77" s="14"/>
      <c r="K77" s="14"/>
      <c r="L77" s="14"/>
      <c r="M77" s="14"/>
      <c r="N77" s="14"/>
      <c r="O77" s="14"/>
      <c r="P77" s="14"/>
      <c r="Q77" s="14"/>
      <c r="R77" s="14"/>
      <c r="S77" s="14"/>
      <c r="T77" s="14"/>
      <c r="U77" s="14"/>
      <c r="V77" s="14"/>
      <c r="W77" s="14"/>
      <c r="X77" s="14"/>
      <c r="Y77" s="14"/>
      <c r="Z77" s="14"/>
      <c r="AA77" s="14"/>
    </row>
    <row r="78" spans="1:27" ht="13.5" hidden="1" customHeight="1">
      <c r="A78" s="14"/>
      <c r="B78" s="89" t="s">
        <v>0</v>
      </c>
      <c r="C78" s="84"/>
      <c r="D78" s="60"/>
      <c r="E78" s="14"/>
      <c r="F78" s="14"/>
      <c r="G78" s="14"/>
      <c r="H78" s="14"/>
      <c r="I78" s="14"/>
      <c r="J78" s="14"/>
      <c r="K78" s="14"/>
      <c r="L78" s="14"/>
      <c r="M78" s="14"/>
      <c r="N78" s="14"/>
      <c r="O78" s="14"/>
      <c r="P78" s="14"/>
      <c r="Q78" s="14"/>
      <c r="R78" s="14"/>
      <c r="S78" s="14"/>
      <c r="T78" s="14"/>
      <c r="U78" s="14"/>
      <c r="V78" s="14"/>
      <c r="W78" s="14"/>
      <c r="X78" s="14"/>
      <c r="Y78" s="14"/>
      <c r="Z78" s="14"/>
      <c r="AA78" s="14"/>
    </row>
    <row r="79" spans="1:27" ht="131.25" hidden="1" customHeight="1">
      <c r="A79" s="14"/>
      <c r="B79" s="88" t="str">
        <f>VLOOKUP(C76,Instructions!B60:F63,1+MATCH(B74,Instructions!C59:F59,FALSE))</f>
        <v xml:space="preserve">▪ The business has a data-driven culture where the use of techniques that fully leverage the internal and external data within the firm to drive social impact decision making.
▪ The business leverages advanced analytic techniques and big data to understand the best ways to create more social impact
▪ There is a culture and approach to experimentation through analytics that influences decision making across the business.
</v>
      </c>
      <c r="C79" s="84"/>
      <c r="D79" s="90" t="str">
        <f>VLOOKUP(E76,Instructions!B8:C11,2,FALSE)</f>
        <v>▪ This aspect of the business is critical to the success of the business</v>
      </c>
      <c r="E79" s="84"/>
      <c r="F79" s="14"/>
      <c r="G79" s="14"/>
      <c r="H79" s="14"/>
      <c r="I79" s="14"/>
      <c r="J79" s="14"/>
      <c r="K79" s="14"/>
      <c r="L79" s="14"/>
      <c r="M79" s="14"/>
      <c r="N79" s="14"/>
      <c r="O79" s="14"/>
      <c r="P79" s="14"/>
      <c r="Q79" s="14"/>
      <c r="R79" s="14"/>
      <c r="S79" s="14"/>
      <c r="T79" s="14"/>
      <c r="U79" s="14"/>
      <c r="V79" s="14"/>
      <c r="W79" s="14"/>
      <c r="X79" s="14"/>
      <c r="Y79" s="14"/>
      <c r="Z79" s="14"/>
      <c r="AA79" s="14"/>
    </row>
    <row r="80" spans="1:27" ht="13.5" hidden="1"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spans="1:27" ht="13.5" hidden="1" customHeight="1">
      <c r="A81" s="14"/>
      <c r="B81" s="61" t="s">
        <v>173</v>
      </c>
      <c r="C81" s="62"/>
      <c r="D81" s="62"/>
      <c r="E81" s="62"/>
      <c r="F81" s="62"/>
      <c r="G81" s="62"/>
      <c r="H81" s="14"/>
      <c r="I81" s="14"/>
      <c r="J81" s="14"/>
      <c r="K81" s="14"/>
      <c r="L81" s="14"/>
      <c r="M81" s="14"/>
      <c r="N81" s="14"/>
      <c r="O81" s="14"/>
      <c r="P81" s="14"/>
      <c r="Q81" s="14"/>
      <c r="R81" s="14"/>
      <c r="S81" s="14"/>
      <c r="T81" s="14"/>
      <c r="U81" s="14"/>
      <c r="V81" s="14"/>
      <c r="W81" s="14"/>
      <c r="X81" s="14"/>
      <c r="Y81" s="14"/>
      <c r="Z81" s="14"/>
      <c r="AA81" s="14"/>
    </row>
    <row r="82" spans="1:27" ht="13.5" hidden="1" customHeight="1">
      <c r="A82" s="14"/>
      <c r="B82" s="63"/>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spans="1:27" ht="13.5" hidden="1" customHeight="1">
      <c r="A83" s="14"/>
      <c r="B83" s="63"/>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spans="1:27" ht="13.5" hidden="1" customHeight="1">
      <c r="A84" s="14"/>
      <c r="B84" s="63"/>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spans="1:27" ht="13.5" hidden="1" customHeight="1">
      <c r="A85" s="14"/>
      <c r="B85" s="63"/>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spans="1:27" ht="13.5" hidden="1" customHeight="1">
      <c r="A86" s="14"/>
      <c r="B86" s="63"/>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spans="1:27" ht="13.5" hidden="1" customHeight="1">
      <c r="A87" s="14"/>
      <c r="B87" s="63"/>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spans="1:27" ht="13.5" hidden="1" customHeight="1">
      <c r="A88" s="14"/>
      <c r="B88" s="14"/>
      <c r="C88" s="64"/>
      <c r="D88" s="14"/>
      <c r="E88" s="14"/>
      <c r="F88" s="14"/>
      <c r="G88" s="14"/>
      <c r="H88" s="14"/>
      <c r="I88" s="14"/>
      <c r="J88" s="14"/>
      <c r="K88" s="14"/>
      <c r="L88" s="14"/>
      <c r="M88" s="14"/>
      <c r="N88" s="14"/>
      <c r="O88" s="14"/>
      <c r="P88" s="14"/>
      <c r="Q88" s="14"/>
      <c r="R88" s="14"/>
      <c r="S88" s="14"/>
      <c r="T88" s="14"/>
      <c r="U88" s="14"/>
      <c r="V88" s="14"/>
      <c r="W88" s="14"/>
      <c r="X88" s="14"/>
      <c r="Y88" s="14"/>
      <c r="Z88" s="14"/>
      <c r="AA88" s="14"/>
    </row>
    <row r="89" spans="1:27" ht="13.5" hidden="1" customHeight="1">
      <c r="A89" s="14"/>
      <c r="B89" s="14"/>
      <c r="C89" s="64"/>
      <c r="D89" s="14"/>
      <c r="E89" s="14"/>
      <c r="F89" s="14"/>
      <c r="G89" s="14"/>
      <c r="H89" s="14"/>
      <c r="I89" s="14"/>
      <c r="J89" s="14"/>
      <c r="K89" s="14"/>
      <c r="L89" s="14"/>
      <c r="M89" s="14"/>
      <c r="N89" s="14"/>
      <c r="O89" s="14"/>
      <c r="P89" s="14"/>
      <c r="Q89" s="14"/>
      <c r="R89" s="14"/>
      <c r="S89" s="14"/>
      <c r="T89" s="14"/>
      <c r="U89" s="14"/>
      <c r="V89" s="14"/>
      <c r="W89" s="14"/>
      <c r="X89" s="14"/>
      <c r="Y89" s="14"/>
      <c r="Z89" s="14"/>
      <c r="AA89" s="14"/>
    </row>
    <row r="90" spans="1:27" ht="13.5" hidden="1" customHeight="1">
      <c r="A90" s="14"/>
      <c r="B90" s="61" t="s">
        <v>181</v>
      </c>
      <c r="C90" s="62"/>
      <c r="D90" s="62"/>
      <c r="E90" s="62"/>
      <c r="F90" s="62"/>
      <c r="G90" s="62"/>
      <c r="H90" s="14"/>
      <c r="I90" s="14"/>
      <c r="J90" s="14"/>
      <c r="K90" s="14"/>
      <c r="L90" s="14"/>
      <c r="M90" s="14"/>
      <c r="N90" s="14"/>
      <c r="O90" s="14"/>
      <c r="P90" s="14"/>
      <c r="Q90" s="14"/>
      <c r="R90" s="14"/>
      <c r="S90" s="14"/>
      <c r="T90" s="14"/>
      <c r="U90" s="14"/>
      <c r="V90" s="14"/>
      <c r="W90" s="14"/>
      <c r="X90" s="14"/>
      <c r="Y90" s="14"/>
      <c r="Z90" s="14"/>
      <c r="AA90" s="14"/>
    </row>
    <row r="91" spans="1:27" ht="13.5" hidden="1"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spans="1:27" ht="13.5" hidden="1"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spans="1:27" ht="13.5" hidden="1"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spans="1:27" ht="13.5" hidden="1"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spans="1:27" ht="13.5" hidden="1"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spans="1:27" ht="13.5" hidden="1"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spans="1:27" ht="13.5" hidden="1" customHeight="1">
      <c r="A97" s="14"/>
      <c r="B97" s="61" t="s">
        <v>182</v>
      </c>
      <c r="C97" s="62"/>
      <c r="D97" s="62"/>
      <c r="E97" s="62"/>
      <c r="F97" s="62"/>
      <c r="G97" s="62"/>
      <c r="H97" s="14"/>
      <c r="I97" s="14"/>
      <c r="J97" s="14"/>
      <c r="K97" s="14"/>
      <c r="L97" s="14"/>
      <c r="M97" s="14"/>
      <c r="N97" s="14"/>
      <c r="O97" s="14"/>
      <c r="P97" s="14"/>
      <c r="Q97" s="14"/>
      <c r="R97" s="14"/>
      <c r="S97" s="14"/>
      <c r="T97" s="14"/>
      <c r="U97" s="14"/>
      <c r="V97" s="14"/>
      <c r="W97" s="14"/>
      <c r="X97" s="14"/>
      <c r="Y97" s="14"/>
      <c r="Z97" s="14"/>
      <c r="AA97" s="14"/>
    </row>
    <row r="98" spans="1:27" ht="13.5" hidden="1"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spans="1:27" ht="13.5" hidden="1"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spans="1:27" ht="13.5" hidden="1" customHeight="1">
      <c r="A100" s="14"/>
      <c r="B100" s="50"/>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spans="1:27" ht="13.5" hidden="1"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spans="1:27" ht="13.5" hidden="1"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spans="1:27" ht="13.5" hidden="1"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spans="1:27" ht="13.5" hidden="1" customHeight="1">
      <c r="A104" s="14"/>
      <c r="B104" s="56" t="s">
        <v>183</v>
      </c>
      <c r="C104" s="56"/>
      <c r="D104" s="56"/>
      <c r="E104" s="56"/>
      <c r="F104" s="56"/>
      <c r="G104" s="56"/>
      <c r="H104" s="14"/>
      <c r="I104" s="14"/>
      <c r="J104" s="14"/>
      <c r="K104" s="14"/>
      <c r="L104" s="14"/>
      <c r="M104" s="14"/>
      <c r="N104" s="14"/>
      <c r="O104" s="14"/>
      <c r="P104" s="14"/>
      <c r="Q104" s="14"/>
      <c r="R104" s="14"/>
      <c r="S104" s="14"/>
      <c r="T104" s="14"/>
      <c r="U104" s="14"/>
      <c r="V104" s="14"/>
      <c r="W104" s="14"/>
      <c r="X104" s="14"/>
      <c r="Y104" s="14"/>
      <c r="Z104" s="14"/>
      <c r="AA104" s="14"/>
    </row>
    <row r="105" spans="1:27" ht="13.5" hidden="1" customHeight="1">
      <c r="A105" s="14"/>
      <c r="B105" s="55" t="str">
        <f>B7</f>
        <v>Design</v>
      </c>
      <c r="C105" s="56"/>
      <c r="D105" s="56"/>
      <c r="E105" s="56"/>
      <c r="F105" s="56"/>
      <c r="G105" s="56"/>
      <c r="H105" s="14"/>
      <c r="I105" s="14"/>
      <c r="J105" s="14"/>
      <c r="K105" s="14"/>
      <c r="L105" s="14"/>
      <c r="M105" s="14"/>
      <c r="N105" s="14"/>
      <c r="O105" s="14"/>
      <c r="P105" s="14"/>
      <c r="Q105" s="14"/>
      <c r="R105" s="14"/>
      <c r="S105" s="14"/>
      <c r="T105" s="14"/>
      <c r="U105" s="14"/>
      <c r="V105" s="14"/>
      <c r="W105" s="14"/>
      <c r="X105" s="14"/>
      <c r="Y105" s="14"/>
      <c r="Z105" s="14"/>
      <c r="AA105" s="14"/>
    </row>
    <row r="106" spans="1:27" ht="13.5" hidden="1"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spans="1:27" ht="13.5" hidden="1" customHeight="1">
      <c r="A107" s="14"/>
      <c r="B107" s="57" t="s">
        <v>0</v>
      </c>
      <c r="C107" s="58">
        <v>3</v>
      </c>
      <c r="D107" s="59" t="s">
        <v>1</v>
      </c>
      <c r="E107" s="58">
        <v>3</v>
      </c>
      <c r="F107" s="57" t="s">
        <v>2</v>
      </c>
      <c r="G107" s="58">
        <f>C107*E107</f>
        <v>9</v>
      </c>
      <c r="H107" s="14"/>
      <c r="I107" s="14"/>
      <c r="J107" s="14"/>
      <c r="K107" s="14"/>
      <c r="L107" s="14"/>
      <c r="M107" s="14"/>
      <c r="N107" s="14"/>
      <c r="O107" s="14"/>
      <c r="P107" s="14"/>
      <c r="Q107" s="14"/>
      <c r="R107" s="14"/>
      <c r="S107" s="14"/>
      <c r="T107" s="14"/>
      <c r="U107" s="14"/>
      <c r="V107" s="14"/>
      <c r="W107" s="14"/>
      <c r="X107" s="14"/>
      <c r="Y107" s="14"/>
      <c r="Z107" s="14"/>
      <c r="AA107" s="14"/>
    </row>
    <row r="108" spans="1:27" ht="13.5" hidden="1" customHeight="1">
      <c r="A108" s="14"/>
      <c r="B108" s="14"/>
      <c r="C108" s="14"/>
      <c r="D108" s="60"/>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spans="1:27" ht="13.5" hidden="1" customHeight="1">
      <c r="A109" s="14"/>
      <c r="B109" s="89" t="s">
        <v>0</v>
      </c>
      <c r="C109" s="84"/>
      <c r="D109" s="60"/>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spans="1:27" ht="99" hidden="1" customHeight="1">
      <c r="A110" s="14"/>
      <c r="B110" s="88" t="str">
        <f>VLOOKUP(C107,Instructions!B60:F63,1+MATCH(B105,Instructions!C59:F59,FALSE))</f>
        <v>▪ The firm does not adapt the business model to be able to maximize social impact</v>
      </c>
      <c r="C110" s="84"/>
      <c r="D110" s="90" t="str">
        <f>VLOOKUP(E107,Instructions!B8:C11,2,FALSE)</f>
        <v>▪ This aspect of the business is of neutral importance to the success of the business</v>
      </c>
      <c r="E110" s="8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spans="1:27" ht="13.5" hidden="1"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spans="1:27" ht="13.5" hidden="1" customHeight="1">
      <c r="A112" s="14"/>
      <c r="B112" s="61" t="s">
        <v>173</v>
      </c>
      <c r="C112" s="62"/>
      <c r="D112" s="62"/>
      <c r="E112" s="62"/>
      <c r="F112" s="62"/>
      <c r="G112" s="62"/>
      <c r="H112" s="14"/>
      <c r="I112" s="14"/>
      <c r="J112" s="14"/>
      <c r="K112" s="14"/>
      <c r="L112" s="14"/>
      <c r="M112" s="14"/>
      <c r="N112" s="14"/>
      <c r="O112" s="14"/>
      <c r="P112" s="14"/>
      <c r="Q112" s="14"/>
      <c r="R112" s="14"/>
      <c r="S112" s="14"/>
      <c r="T112" s="14"/>
      <c r="U112" s="14"/>
      <c r="V112" s="14"/>
      <c r="W112" s="14"/>
      <c r="X112" s="14"/>
      <c r="Y112" s="14"/>
      <c r="Z112" s="14"/>
      <c r="AA112" s="14"/>
    </row>
    <row r="113" spans="1:27" ht="13.5" hidden="1" customHeight="1">
      <c r="A113" s="14"/>
      <c r="B113" s="63"/>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spans="1:27" ht="13.5" hidden="1" customHeight="1">
      <c r="A114" s="14"/>
      <c r="B114" s="63"/>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spans="1:27" ht="13.5" hidden="1" customHeight="1">
      <c r="A115" s="14"/>
      <c r="B115" s="63"/>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spans="1:27" ht="13.5" hidden="1" customHeight="1">
      <c r="A116" s="14"/>
      <c r="B116" s="63"/>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spans="1:27" ht="13.5" hidden="1" customHeight="1">
      <c r="A117" s="14"/>
      <c r="B117" s="63"/>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spans="1:27" ht="13.5" hidden="1" customHeight="1">
      <c r="A118" s="14"/>
      <c r="B118" s="63"/>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spans="1:27" ht="13.5" hidden="1" customHeight="1">
      <c r="A119" s="14"/>
      <c r="B119" s="14"/>
      <c r="C119" s="6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spans="1:27" ht="13.5" hidden="1" customHeight="1">
      <c r="A120" s="14"/>
      <c r="B120" s="14"/>
      <c r="C120" s="6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spans="1:27" ht="13.5" hidden="1" customHeight="1">
      <c r="A121" s="14"/>
      <c r="B121" s="61" t="s">
        <v>181</v>
      </c>
      <c r="C121" s="62"/>
      <c r="D121" s="62"/>
      <c r="E121" s="62"/>
      <c r="F121" s="62"/>
      <c r="G121" s="62"/>
      <c r="H121" s="14"/>
      <c r="I121" s="14"/>
      <c r="J121" s="14"/>
      <c r="K121" s="14"/>
      <c r="L121" s="14"/>
      <c r="M121" s="14"/>
      <c r="N121" s="14"/>
      <c r="O121" s="14"/>
      <c r="P121" s="14"/>
      <c r="Q121" s="14"/>
      <c r="R121" s="14"/>
      <c r="S121" s="14"/>
      <c r="T121" s="14"/>
      <c r="U121" s="14"/>
      <c r="V121" s="14"/>
      <c r="W121" s="14"/>
      <c r="X121" s="14"/>
      <c r="Y121" s="14"/>
      <c r="Z121" s="14"/>
      <c r="AA121" s="14"/>
    </row>
    <row r="122" spans="1:27" ht="13.5" hidden="1"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spans="1:27" ht="13.5" hidden="1"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spans="1:27" ht="13.5" hidden="1"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spans="1:27" ht="13.5" hidden="1"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spans="1:27" ht="13.5" hidden="1"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spans="1:27" ht="13.5" hidden="1"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spans="1:27" ht="13.5" hidden="1" customHeight="1">
      <c r="A128" s="14"/>
      <c r="B128" s="61" t="s">
        <v>182</v>
      </c>
      <c r="C128" s="62"/>
      <c r="D128" s="62"/>
      <c r="E128" s="62"/>
      <c r="F128" s="62"/>
      <c r="G128" s="62"/>
      <c r="H128" s="14"/>
      <c r="I128" s="14"/>
      <c r="J128" s="14"/>
      <c r="K128" s="14"/>
      <c r="L128" s="14"/>
      <c r="M128" s="14"/>
      <c r="N128" s="14"/>
      <c r="O128" s="14"/>
      <c r="P128" s="14"/>
      <c r="Q128" s="14"/>
      <c r="R128" s="14"/>
      <c r="S128" s="14"/>
      <c r="T128" s="14"/>
      <c r="U128" s="14"/>
      <c r="V128" s="14"/>
      <c r="W128" s="14"/>
      <c r="X128" s="14"/>
      <c r="Y128" s="14"/>
      <c r="Z128" s="14"/>
      <c r="AA128" s="14"/>
    </row>
    <row r="129" spans="1:27" ht="13.5" hidden="1"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spans="1:27" ht="13.5" hidden="1"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spans="1:27" ht="13.5" hidden="1" customHeight="1">
      <c r="A131" s="14"/>
      <c r="B131" s="50"/>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spans="1:27" ht="13.5" hidden="1"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spans="1:27" ht="13.5" hidden="1"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spans="1:27" ht="13.5" hidden="1"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spans="1:27" ht="13.5" hidden="1" customHeight="1">
      <c r="A135" s="14"/>
      <c r="B135" s="56" t="s">
        <v>183</v>
      </c>
      <c r="C135" s="56"/>
      <c r="D135" s="56"/>
      <c r="E135" s="56"/>
      <c r="F135" s="56"/>
      <c r="G135" s="56"/>
      <c r="H135" s="14"/>
      <c r="I135" s="14"/>
      <c r="J135" s="14"/>
      <c r="K135" s="14"/>
      <c r="L135" s="14"/>
      <c r="M135" s="14"/>
      <c r="N135" s="14"/>
      <c r="O135" s="14"/>
      <c r="P135" s="14"/>
      <c r="Q135" s="14"/>
      <c r="R135" s="14"/>
      <c r="S135" s="14"/>
      <c r="T135" s="14"/>
      <c r="U135" s="14"/>
      <c r="V135" s="14"/>
      <c r="W135" s="14"/>
      <c r="X135" s="14"/>
      <c r="Y135" s="14"/>
      <c r="Z135" s="14"/>
      <c r="AA135" s="14"/>
    </row>
    <row r="136" spans="1:27" ht="13.5" hidden="1" customHeight="1">
      <c r="A136" s="14"/>
      <c r="B136" s="55">
        <f>B8</f>
        <v>0</v>
      </c>
      <c r="C136" s="56"/>
      <c r="D136" s="56"/>
      <c r="E136" s="56"/>
      <c r="F136" s="56"/>
      <c r="G136" s="56"/>
      <c r="H136" s="14"/>
      <c r="I136" s="14"/>
      <c r="J136" s="14"/>
      <c r="K136" s="14"/>
      <c r="L136" s="14"/>
      <c r="M136" s="14"/>
      <c r="N136" s="14"/>
      <c r="O136" s="14"/>
      <c r="P136" s="14"/>
      <c r="Q136" s="14"/>
      <c r="R136" s="14"/>
      <c r="S136" s="14"/>
      <c r="T136" s="14"/>
      <c r="U136" s="14"/>
      <c r="V136" s="14"/>
      <c r="W136" s="14"/>
      <c r="X136" s="14"/>
      <c r="Y136" s="14"/>
      <c r="Z136" s="14"/>
      <c r="AA136" s="14"/>
    </row>
    <row r="137" spans="1:27" ht="13.5" hidden="1"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spans="1:27" ht="13.5" hidden="1" customHeight="1">
      <c r="A138" s="14"/>
      <c r="B138" s="57" t="s">
        <v>0</v>
      </c>
      <c r="C138" s="58">
        <v>3</v>
      </c>
      <c r="D138" s="59" t="s">
        <v>1</v>
      </c>
      <c r="E138" s="58">
        <v>3</v>
      </c>
      <c r="F138" s="57" t="s">
        <v>2</v>
      </c>
      <c r="G138" s="58">
        <f>C138*E138</f>
        <v>9</v>
      </c>
      <c r="H138" s="14"/>
      <c r="I138" s="14"/>
      <c r="J138" s="14"/>
      <c r="K138" s="14"/>
      <c r="L138" s="14"/>
      <c r="M138" s="14"/>
      <c r="N138" s="14"/>
      <c r="O138" s="14"/>
      <c r="P138" s="14"/>
      <c r="Q138" s="14"/>
      <c r="R138" s="14"/>
      <c r="S138" s="14"/>
      <c r="T138" s="14"/>
      <c r="U138" s="14"/>
      <c r="V138" s="14"/>
      <c r="W138" s="14"/>
      <c r="X138" s="14"/>
      <c r="Y138" s="14"/>
      <c r="Z138" s="14"/>
      <c r="AA138" s="14"/>
    </row>
    <row r="139" spans="1:27" ht="13.5" hidden="1" customHeight="1">
      <c r="A139" s="14"/>
      <c r="B139" s="14"/>
      <c r="C139" s="14"/>
      <c r="D139" s="60"/>
      <c r="E139" s="14"/>
      <c r="F139" s="14"/>
      <c r="G139" s="62"/>
      <c r="H139" s="14"/>
      <c r="I139" s="14"/>
      <c r="J139" s="14"/>
      <c r="K139" s="14"/>
      <c r="L139" s="14"/>
      <c r="M139" s="14"/>
      <c r="N139" s="14"/>
      <c r="O139" s="14"/>
      <c r="P139" s="14"/>
      <c r="Q139" s="14"/>
      <c r="R139" s="14"/>
      <c r="S139" s="14"/>
      <c r="T139" s="14"/>
      <c r="U139" s="14"/>
      <c r="V139" s="14"/>
      <c r="W139" s="14"/>
      <c r="X139" s="14"/>
      <c r="Y139" s="14"/>
      <c r="Z139" s="14"/>
      <c r="AA139" s="14"/>
    </row>
    <row r="140" spans="1:27" ht="13.5" hidden="1" customHeight="1">
      <c r="A140" s="14"/>
      <c r="B140" s="89" t="s">
        <v>0</v>
      </c>
      <c r="C140" s="84"/>
      <c r="D140" s="60"/>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spans="1:27" ht="99" hidden="1" customHeight="1">
      <c r="A141" s="14"/>
      <c r="B141" s="88" t="e">
        <f>VLOOKUP(C138,Instructions!B42:G45,1+MATCH(B136,Instructions!C41:G41,FALSE))</f>
        <v>#N/A</v>
      </c>
      <c r="C141" s="84"/>
      <c r="D141" s="90" t="str">
        <f>VLOOKUP(E138,Instructions!B8:C11,2,FALSE)</f>
        <v>▪ This aspect of the business is of neutral importance to the success of the business</v>
      </c>
      <c r="E141" s="8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spans="1:27" ht="13.5" hidden="1"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spans="1:27" ht="13.5" hidden="1" customHeight="1">
      <c r="A143" s="14"/>
      <c r="B143" s="61" t="s">
        <v>173</v>
      </c>
      <c r="C143" s="62"/>
      <c r="D143" s="62"/>
      <c r="E143" s="62"/>
      <c r="F143" s="62"/>
      <c r="G143" s="62"/>
      <c r="H143" s="14"/>
      <c r="I143" s="14"/>
      <c r="J143" s="14"/>
      <c r="K143" s="14"/>
      <c r="L143" s="14"/>
      <c r="M143" s="14"/>
      <c r="N143" s="14"/>
      <c r="O143" s="14"/>
      <c r="P143" s="14"/>
      <c r="Q143" s="14"/>
      <c r="R143" s="14"/>
      <c r="S143" s="14"/>
      <c r="T143" s="14"/>
      <c r="U143" s="14"/>
      <c r="V143" s="14"/>
      <c r="W143" s="14"/>
      <c r="X143" s="14"/>
      <c r="Y143" s="14"/>
      <c r="Z143" s="14"/>
      <c r="AA143" s="14"/>
    </row>
    <row r="144" spans="1:27" ht="13.5" hidden="1" customHeight="1">
      <c r="A144" s="14"/>
      <c r="B144" s="63"/>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spans="1:27" ht="13.5" hidden="1" customHeight="1">
      <c r="A145" s="14"/>
      <c r="B145" s="63"/>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spans="1:27" ht="13.5" hidden="1" customHeight="1">
      <c r="A146" s="14"/>
      <c r="B146" s="63"/>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spans="1:27" ht="13.5" hidden="1" customHeight="1">
      <c r="A147" s="14"/>
      <c r="B147" s="63"/>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spans="1:27" ht="13.5" hidden="1" customHeight="1">
      <c r="A148" s="14"/>
      <c r="B148" s="63"/>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spans="1:27" ht="13.5" hidden="1" customHeight="1">
      <c r="A149" s="14"/>
      <c r="B149" s="63"/>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spans="1:27" ht="13.5" hidden="1" customHeight="1">
      <c r="A150" s="14"/>
      <c r="B150" s="14"/>
      <c r="C150" s="6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spans="1:27" ht="13.5" hidden="1" customHeight="1">
      <c r="A151" s="14"/>
      <c r="B151" s="14"/>
      <c r="C151" s="6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spans="1:27" ht="13.5" hidden="1" customHeight="1">
      <c r="A152" s="14"/>
      <c r="B152" s="61" t="s">
        <v>181</v>
      </c>
      <c r="C152" s="62"/>
      <c r="D152" s="62"/>
      <c r="E152" s="62"/>
      <c r="F152" s="62"/>
      <c r="G152" s="62"/>
      <c r="H152" s="14"/>
      <c r="I152" s="14"/>
      <c r="J152" s="14"/>
      <c r="K152" s="14"/>
      <c r="L152" s="14"/>
      <c r="M152" s="14"/>
      <c r="N152" s="14"/>
      <c r="O152" s="14"/>
      <c r="P152" s="14"/>
      <c r="Q152" s="14"/>
      <c r="R152" s="14"/>
      <c r="S152" s="14"/>
      <c r="T152" s="14"/>
      <c r="U152" s="14"/>
      <c r="V152" s="14"/>
      <c r="W152" s="14"/>
      <c r="X152" s="14"/>
      <c r="Y152" s="14"/>
      <c r="Z152" s="14"/>
      <c r="AA152" s="14"/>
    </row>
    <row r="153" spans="1:27" ht="13.5" hidden="1"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spans="1:27" ht="13.5" hidden="1"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spans="1:27" ht="13.5" hidden="1"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spans="1:27" ht="13.5" hidden="1"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spans="1:27" ht="13.5" hidden="1"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spans="1:27" ht="13.5" hidden="1"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spans="1:27" ht="13.5" hidden="1" customHeight="1">
      <c r="A159" s="14"/>
      <c r="B159" s="61" t="s">
        <v>182</v>
      </c>
      <c r="C159" s="62"/>
      <c r="D159" s="62"/>
      <c r="E159" s="62"/>
      <c r="F159" s="62"/>
      <c r="G159" s="62"/>
      <c r="H159" s="14"/>
      <c r="I159" s="14"/>
      <c r="J159" s="14"/>
      <c r="K159" s="14"/>
      <c r="L159" s="14"/>
      <c r="M159" s="14"/>
      <c r="N159" s="14"/>
      <c r="O159" s="14"/>
      <c r="P159" s="14"/>
      <c r="Q159" s="14"/>
      <c r="R159" s="14"/>
      <c r="S159" s="14"/>
      <c r="T159" s="14"/>
      <c r="U159" s="14"/>
      <c r="V159" s="14"/>
      <c r="W159" s="14"/>
      <c r="X159" s="14"/>
      <c r="Y159" s="14"/>
      <c r="Z159" s="14"/>
      <c r="AA159" s="14"/>
    </row>
    <row r="160" spans="1:27" ht="13.5" hidden="1"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spans="1:27" ht="13.5" hidden="1"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spans="1:27" ht="13.5" hidden="1" customHeight="1">
      <c r="A162" s="14"/>
      <c r="B162" s="50"/>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spans="1:27" ht="13.5" hidden="1"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spans="1:27" ht="13.5" hidden="1"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spans="1:27" ht="13.5" hidden="1"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spans="1:27" ht="13.5" hidden="1" customHeight="1">
      <c r="A166" s="14"/>
      <c r="B166" s="56" t="s">
        <v>183</v>
      </c>
      <c r="C166" s="56"/>
      <c r="D166" s="56"/>
      <c r="E166" s="56"/>
      <c r="F166" s="56"/>
      <c r="G166" s="56"/>
      <c r="H166" s="14"/>
      <c r="I166" s="14"/>
      <c r="J166" s="14"/>
      <c r="K166" s="14"/>
      <c r="L166" s="14"/>
      <c r="M166" s="14"/>
      <c r="N166" s="14"/>
      <c r="O166" s="14"/>
      <c r="P166" s="14"/>
      <c r="Q166" s="14"/>
      <c r="R166" s="14"/>
      <c r="S166" s="14"/>
      <c r="T166" s="14"/>
      <c r="U166" s="14"/>
      <c r="V166" s="14"/>
      <c r="W166" s="14"/>
      <c r="X166" s="14"/>
      <c r="Y166" s="14"/>
      <c r="Z166" s="14"/>
      <c r="AA166" s="14"/>
    </row>
    <row r="167" spans="1:27" ht="13.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spans="1:27" ht="13.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spans="1:27" ht="13.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spans="1:27" ht="13.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spans="1:27" ht="13.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spans="1:27" ht="13.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spans="1:27" ht="13.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spans="1:27" ht="13.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spans="1:27" ht="13.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spans="1:27" ht="13.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spans="1:27" ht="13.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spans="1:27" ht="13.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spans="1:27" ht="13.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spans="1:27" ht="13.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spans="1:27" ht="13.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spans="1:27" ht="13.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spans="1:27" ht="13.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spans="1:27" ht="13.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spans="1:27" ht="13.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spans="1:27" ht="13.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spans="1:27" ht="13.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spans="1:27" ht="13.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spans="1:27" ht="13.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spans="1:27" ht="13.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spans="1:27" ht="13.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spans="1:27" ht="13.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spans="1:27" ht="13.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spans="1:27" ht="13.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spans="1:27" ht="13.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spans="1:27" ht="13.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spans="1:27" ht="13.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spans="1:27" ht="13.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spans="1:27" ht="13.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spans="1:27" ht="13.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spans="1:27" ht="13.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spans="1:27" ht="13.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spans="1:27" ht="13.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spans="1:27" ht="13.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spans="1:27" ht="13.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spans="1:27" ht="13.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spans="1:27" ht="13.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spans="1:27" ht="13.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spans="1:27" ht="13.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spans="1:27" ht="13.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spans="1:27" ht="13.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spans="1:27" ht="13.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spans="1:27" ht="13.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spans="1:27" ht="13.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spans="1:27" ht="13.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spans="1:27" ht="13.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spans="1:27" ht="13.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spans="1:27" ht="13.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spans="1:27" ht="13.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spans="1:27" ht="13.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spans="1:27" ht="13.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spans="1:27" ht="13.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spans="1:27" ht="13.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spans="1:27" ht="13.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spans="1:27" ht="13.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spans="1:27" ht="13.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spans="1:27" ht="13.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spans="1:27" ht="13.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spans="1:27" ht="13.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spans="1:27" ht="13.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spans="1:27" ht="13.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spans="1:27" ht="13.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spans="1:27" ht="13.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spans="1:27" ht="13.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spans="1:27" ht="13.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spans="1:27" ht="13.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spans="1:27" ht="13.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spans="1:27" ht="13.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spans="1:27" ht="13.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spans="1:27" ht="13.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spans="1:27" ht="13.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spans="1:27" ht="13.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spans="1:27" ht="13.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spans="1:27" ht="13.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spans="1:27" ht="13.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spans="1:27" ht="13.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spans="1:27" ht="13.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spans="1:27" ht="13.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spans="1:27" ht="13.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spans="1:27" ht="13.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spans="1:27" ht="13.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spans="1:27" ht="13.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spans="1:27" ht="13.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spans="1:27" ht="13.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spans="1:27" ht="13.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spans="1:27" ht="13.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spans="1:27" ht="13.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spans="1:27" ht="13.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spans="1:27" ht="13.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spans="1:27" ht="13.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spans="1:27" ht="13.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spans="1:27" ht="13.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spans="1:27" ht="13.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spans="1:27" ht="13.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spans="1:27" ht="13.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spans="1:27" ht="13.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spans="1:27" ht="13.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spans="1:27" ht="13.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spans="1:27" ht="13.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spans="1:27" ht="13.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spans="1:27" ht="13.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spans="1:27" ht="13.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spans="1:27" ht="13.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spans="1:27" ht="13.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spans="1:27" ht="13.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spans="1:27" ht="13.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spans="1:27" ht="13.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spans="1:27" ht="13.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spans="1:27" ht="13.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spans="1:27" ht="13.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spans="1:27" ht="13.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spans="1:27" ht="13.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spans="1:27" ht="13.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spans="1:27" ht="13.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spans="1:27" ht="13.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spans="1:27" ht="13.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spans="1:27" ht="13.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spans="1:27" ht="13.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spans="1:27" ht="13.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spans="1:27" ht="13.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spans="1:27" ht="13.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spans="1:27" ht="13.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spans="1:27" ht="13.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spans="1:27" ht="13.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spans="1:27" ht="13.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spans="1:27" ht="13.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spans="1:27" ht="13.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spans="1:27" ht="13.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spans="1:27" ht="13.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spans="1:27" ht="13.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spans="1:27" ht="13.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spans="1:27" ht="13.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spans="1:27" ht="13.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spans="1:27" ht="13.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spans="1:27" ht="13.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spans="1:27" ht="13.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spans="1:27" ht="13.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spans="1:27" ht="13.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spans="1:27" ht="13.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spans="1:27" ht="13.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spans="1:27" ht="13.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spans="1:27" ht="13.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spans="1:27" ht="13.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spans="1:27" ht="13.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spans="1:27" ht="13.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spans="1:27" ht="13.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spans="1:27" ht="13.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spans="1:27" ht="13.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spans="1:27" ht="13.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spans="1:27" ht="13.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spans="1:27" ht="13.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spans="1:27" ht="13.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spans="1:27" ht="13.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spans="1:27" ht="13.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spans="1:27" ht="13.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spans="1:27" ht="13.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spans="1:27" ht="13.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spans="1:27" ht="13.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spans="1:27" ht="13.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spans="1:27" ht="13.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spans="1:27" ht="13.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spans="1:27" ht="13.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spans="1:27" ht="13.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spans="1:27" ht="13.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spans="1:27" ht="13.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spans="1:27" ht="13.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spans="1:27" ht="13.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spans="1:27" ht="13.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spans="1:27" ht="13.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spans="1:27" ht="13.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spans="1:27" ht="13.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spans="1:27" ht="13.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spans="1:27" ht="13.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spans="1:27" ht="13.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spans="1:27" ht="13.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spans="1:27" ht="13.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spans="1:27" ht="13.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spans="1:27" ht="13.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spans="1:27" ht="13.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spans="1:27" ht="13.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spans="1:27" ht="13.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spans="1:27" ht="13.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spans="1:27" ht="13.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spans="1:27" ht="13.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spans="1:27" ht="13.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spans="1:27" ht="13.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spans="1:27" ht="13.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spans="1:27" ht="13.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spans="1:27" ht="13.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spans="1:27" ht="13.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spans="1:27" ht="13.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spans="1:27" ht="13.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spans="1:27" ht="13.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spans="1:27" ht="13.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spans="1:27" ht="13.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spans="1:27" ht="13.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spans="1:27" ht="13.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spans="1:27" ht="13.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spans="1:27" ht="13.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spans="1:27" ht="13.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spans="1:27" ht="13.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spans="1:27" ht="13.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spans="1:27" ht="13.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spans="1:27" ht="13.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spans="1:27" ht="13.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spans="1:27" ht="13.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spans="1:27" ht="13.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spans="1:27" ht="13.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spans="1:27" ht="13.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spans="1:27" ht="13.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spans="1:27" ht="13.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spans="1:27" ht="13.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spans="1:27" ht="13.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spans="1:27" ht="13.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spans="1:27" ht="13.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spans="1:27" ht="13.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spans="1:27" ht="13.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spans="1:27" ht="13.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spans="1:27" ht="13.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spans="1:27" ht="13.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spans="1:27" ht="13.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spans="1:27" ht="13.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spans="1:27" ht="13.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spans="1:27" ht="13.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spans="1:27" ht="13.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spans="1:27" ht="13.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spans="1:27" ht="13.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spans="1:27" ht="13.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spans="1:27" ht="13.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spans="1:27" ht="13.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spans="1:27" ht="13.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spans="1:27" ht="13.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spans="1:27" ht="13.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spans="1:27" ht="13.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spans="1:27" ht="13.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spans="1:27" ht="13.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spans="1:27" ht="13.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spans="1:27" ht="13.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spans="1:27" ht="13.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spans="1:27" ht="13.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spans="1:27" ht="13.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spans="1:27" ht="13.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spans="1:27" ht="13.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spans="1:27" ht="13.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spans="1:27" ht="13.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spans="1:27" ht="13.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spans="1:27" ht="13.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spans="1:27" ht="13.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spans="1:27" ht="13.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spans="1:27" ht="13.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spans="1:27" ht="13.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spans="1:27" ht="13.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spans="1:27" ht="13.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spans="1:27" ht="13.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spans="1:27" ht="13.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spans="1:27" ht="13.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spans="1:27" ht="13.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spans="1:27" ht="13.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spans="1:27" ht="13.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spans="1:27" ht="13.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spans="1:27" ht="13.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spans="1:27" ht="13.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spans="1:27" ht="13.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spans="1:27" ht="13.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spans="1:27" ht="13.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spans="1:27" ht="13.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spans="1:27" ht="13.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spans="1:27" ht="13.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spans="1:27" ht="13.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spans="1:27" ht="13.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spans="1:27" ht="13.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spans="1:27" ht="13.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spans="1:27" ht="13.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spans="1:27" ht="13.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spans="1:27" ht="13.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spans="1:27" ht="13.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spans="1:27" ht="13.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spans="1:27" ht="13.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spans="1:27" ht="13.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spans="1:27" ht="13.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spans="1:27" ht="13.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spans="1:27" ht="13.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spans="1:27" ht="13.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spans="1:27" ht="13.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spans="1:27" ht="13.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spans="1:27" ht="13.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spans="1:27" ht="13.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spans="1:27" ht="13.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spans="1:27" ht="13.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spans="1:27" ht="13.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spans="1:27" ht="13.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spans="1:27" ht="13.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spans="1:27" ht="13.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spans="1:27" ht="13.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spans="1:27" ht="13.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spans="1:27" ht="13.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spans="1:27" ht="13.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spans="1:27" ht="13.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spans="1:27" ht="13.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spans="1:27" ht="13.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spans="1:27" ht="13.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spans="1:27" ht="13.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spans="1:27" ht="13.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spans="1:27" ht="13.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spans="1:27" ht="13.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spans="1:27" ht="13.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spans="1:27" ht="13.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spans="1:27" ht="13.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spans="1:27" ht="13.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spans="1:27" ht="13.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spans="1:27" ht="13.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spans="1:27" ht="13.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spans="1:27" ht="13.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spans="1:27" ht="13.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spans="1:27" ht="13.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spans="1:27" ht="13.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spans="1:27" ht="13.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spans="1:27" ht="13.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spans="1:27" ht="13.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spans="1:27" ht="13.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spans="1:27" ht="13.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spans="1:27" ht="13.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spans="1:27" ht="13.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spans="1:27" ht="13.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spans="1:27" ht="13.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spans="1:27" ht="13.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spans="1:27" ht="13.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spans="1:27" ht="13.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spans="1:27" ht="13.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spans="1:27" ht="13.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spans="1:27" ht="13.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spans="1:27" ht="13.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spans="1:27" ht="13.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spans="1:27" ht="13.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spans="1:27" ht="13.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spans="1:27" ht="13.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spans="1:27" ht="13.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spans="1:27" ht="13.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spans="1:27" ht="13.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spans="1:27" ht="13.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spans="1:27" ht="13.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spans="1:27" ht="13.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spans="1:27" ht="13.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spans="1:27" ht="13.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spans="1:27" ht="13.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spans="1:27" ht="13.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spans="1:27" ht="13.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spans="1:27" ht="13.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spans="1:27" ht="13.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spans="1:27" ht="13.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spans="1:27" ht="13.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spans="1:27" ht="13.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spans="1:27" ht="13.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spans="1:27" ht="13.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spans="1:27" ht="13.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spans="1:27" ht="13.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spans="1:27" ht="13.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spans="1:27" ht="13.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spans="1:27" ht="13.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spans="1:27" ht="13.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spans="1:27" ht="13.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spans="1:27" ht="13.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spans="1:27" ht="13.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spans="1:27" ht="13.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spans="1:27" ht="13.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spans="1:27" ht="13.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spans="1:27" ht="13.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spans="1:27" ht="13.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spans="1:27" ht="13.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spans="1:27" ht="13.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spans="1:27" ht="13.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spans="1:27" ht="13.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spans="1:27" ht="13.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spans="1:27" ht="13.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spans="1:27" ht="13.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spans="1:27" ht="13.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spans="1:27" ht="13.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spans="1:27" ht="13.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spans="1:27" ht="13.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spans="1:27" ht="13.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spans="1:27" ht="13.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spans="1:27" ht="13.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spans="1:27" ht="13.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spans="1:27" ht="13.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spans="1:27" ht="13.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spans="1:27" ht="13.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spans="1:27" ht="13.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spans="1:27" ht="13.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spans="1:27" ht="13.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spans="1:27" ht="13.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spans="1:27" ht="13.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spans="1:27" ht="13.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spans="1:27" ht="13.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spans="1:27" ht="13.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spans="1:27" ht="13.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spans="1:27" ht="13.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spans="1:27" ht="13.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spans="1:27" ht="13.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spans="1:27" ht="13.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spans="1:27" ht="13.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spans="1:27" ht="13.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spans="1:27" ht="13.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spans="1:27" ht="13.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spans="1:27" ht="13.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spans="1:27" ht="13.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spans="1:27" ht="13.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spans="1:27" ht="13.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spans="1:27" ht="13.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spans="1:27" ht="13.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spans="1:27" ht="13.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spans="1:27" ht="13.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spans="1:27" ht="13.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spans="1:27" ht="13.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spans="1:27" ht="13.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spans="1:27" ht="13.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spans="1:27" ht="13.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spans="1:27" ht="13.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spans="1:27" ht="13.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spans="1:27" ht="13.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spans="1:27" ht="13.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spans="1:27" ht="13.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spans="1:27" ht="13.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spans="1:27" ht="13.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spans="1:27" ht="13.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spans="1:27" ht="13.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spans="1:27" ht="13.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spans="1:27" ht="13.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spans="1:27" ht="13.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spans="1:27" ht="13.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spans="1:27" ht="13.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spans="1:27" ht="13.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spans="1:27" ht="13.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spans="1:27" ht="13.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spans="1:27" ht="13.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spans="1:27" ht="13.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spans="1:27" ht="13.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spans="1:27" ht="13.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spans="1:27" ht="13.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spans="1:27" ht="13.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spans="1:27" ht="13.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spans="1:27" ht="13.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spans="1:27" ht="13.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spans="1:27" ht="13.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spans="1:27" ht="13.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spans="1:27" ht="13.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spans="1:27" ht="13.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spans="1:27" ht="13.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spans="1:27" ht="13.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spans="1:27" ht="13.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spans="1:27" ht="13.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spans="1:27" ht="13.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spans="1:27" ht="13.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spans="1:27" ht="13.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spans="1:27" ht="13.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spans="1:27" ht="13.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spans="1:27" ht="13.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spans="1:27" ht="13.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spans="1:27" ht="13.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spans="1:27" ht="13.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spans="1:27" ht="13.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spans="1:27" ht="13.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spans="1:27" ht="13.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spans="1:27" ht="13.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spans="1:27" ht="13.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spans="1:27" ht="13.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spans="1:27" ht="13.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spans="1:27" ht="13.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spans="1:27" ht="13.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spans="1:27" ht="13.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spans="1:27" ht="13.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spans="1:27" ht="13.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spans="1:27" ht="13.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spans="1:27" ht="13.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spans="1:27" ht="13.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spans="1:27" ht="13.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spans="1:27" ht="13.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spans="1:27" ht="13.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spans="1:27" ht="13.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spans="1:27" ht="13.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spans="1:27" ht="13.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spans="1:27" ht="13.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spans="1:27" ht="13.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spans="1:27" ht="13.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spans="1:27" ht="13.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spans="1:27" ht="13.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spans="1:27" ht="13.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spans="1:27" ht="13.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spans="1:27" ht="13.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spans="1:27" ht="13.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spans="1:27" ht="13.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spans="1:27" ht="13.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spans="1:27" ht="13.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spans="1:27" ht="13.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spans="1:27" ht="13.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spans="1:27" ht="13.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spans="1:27" ht="13.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spans="1:27" ht="13.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spans="1:27" ht="13.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spans="1:27" ht="13.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spans="1:27" ht="13.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spans="1:27" ht="13.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spans="1:27" ht="13.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spans="1:27" ht="13.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spans="1:27" ht="13.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spans="1:27" ht="13.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spans="1:27" ht="13.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spans="1:27" ht="13.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spans="1:27" ht="13.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spans="1:27" ht="13.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spans="1:27" ht="13.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spans="1:27" ht="13.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spans="1:27" ht="13.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spans="1:27" ht="13.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spans="1:27" ht="13.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spans="1:27" ht="13.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spans="1:27" ht="13.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spans="1:27" ht="13.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spans="1:27" ht="13.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spans="1:27" ht="13.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spans="1:27" ht="13.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spans="1:27" ht="13.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spans="1:27" ht="13.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spans="1:27" ht="13.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spans="1:27" ht="13.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spans="1:27" ht="13.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spans="1:27" ht="13.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spans="1:27" ht="13.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spans="1:27" ht="13.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spans="1:27" ht="13.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spans="1:27" ht="13.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spans="1:27" ht="13.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spans="1:27" ht="13.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spans="1:27" ht="13.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spans="1:27" ht="13.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spans="1:27" ht="13.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spans="1:27" ht="13.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spans="1:27" ht="13.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spans="1:27" ht="13.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spans="1:27" ht="13.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spans="1:27" ht="13.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spans="1:27" ht="13.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spans="1:27" ht="13.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spans="1:27" ht="13.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spans="1:27" ht="13.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spans="1:27" ht="13.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spans="1:27" ht="13.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spans="1:27" ht="13.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spans="1:27" ht="13.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spans="1:27" ht="13.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spans="1:27" ht="13.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spans="1:27" ht="13.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spans="1:27" ht="13.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spans="1:27" ht="13.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spans="1:27" ht="13.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spans="1:27" ht="13.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spans="1:27" ht="13.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spans="1:27" ht="13.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spans="1:27" ht="13.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spans="1:27" ht="13.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spans="1:27" ht="13.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spans="1:27" ht="13.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spans="1:27" ht="13.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spans="1:27" ht="13.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spans="1:27" ht="13.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spans="1:27" ht="13.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spans="1:27" ht="13.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spans="1:27" ht="13.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spans="1:27" ht="13.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spans="1:27" ht="13.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spans="1:27" ht="13.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spans="1:27" ht="13.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spans="1:27" ht="13.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spans="1:27" ht="13.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spans="1:27" ht="13.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spans="1:27" ht="13.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spans="1:27" ht="13.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spans="1:27" ht="13.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spans="1:27" ht="13.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spans="1:27" ht="13.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spans="1:27" ht="13.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spans="1:27" ht="13.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spans="1:27" ht="13.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spans="1:27" ht="13.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spans="1:27" ht="13.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spans="1:27" ht="13.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spans="1:27" ht="13.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spans="1:27" ht="13.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spans="1:27" ht="13.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spans="1:27" ht="13.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spans="1:27" ht="13.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spans="1:27" ht="13.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spans="1:27" ht="13.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spans="1:27" ht="13.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spans="1:27" ht="13.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spans="1:27" ht="13.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spans="1:27" ht="13.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spans="1:27" ht="13.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spans="1:27" ht="13.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spans="1:27" ht="13.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spans="1:27" ht="13.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spans="1:27" ht="13.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spans="1:27" ht="13.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spans="1:27" ht="13.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spans="1:27" ht="13.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spans="1:27" ht="13.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spans="1:27" ht="13.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spans="1:27" ht="13.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spans="1:27" ht="13.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spans="1:27" ht="13.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spans="1:27" ht="13.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spans="1:27" ht="13.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spans="1:27" ht="13.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spans="1:27" ht="13.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spans="1:27" ht="13.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spans="1:27" ht="13.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spans="1:27" ht="13.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spans="1:27" ht="13.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spans="1:27" ht="13.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spans="1:27" ht="13.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spans="1:27" ht="13.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spans="1:27" ht="13.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spans="1:27" ht="13.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spans="1:27" ht="13.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spans="1:27" ht="13.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spans="1:27" ht="13.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spans="1:27" ht="13.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spans="1:27" ht="13.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spans="1:27" ht="13.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spans="1:27" ht="13.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spans="1:27" ht="13.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spans="1:27" ht="13.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spans="1:27" ht="13.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spans="1:27" ht="13.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spans="1:27" ht="13.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spans="1:27" ht="13.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spans="1:27" ht="13.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spans="1:27" ht="13.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spans="1:27" ht="13.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spans="1:27" ht="13.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spans="1:27" ht="13.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spans="1:27" ht="13.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spans="1:27" ht="13.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spans="1:27" ht="13.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spans="1:27" ht="13.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spans="1:27" ht="13.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spans="1:27" ht="13.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spans="1:27" ht="13.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spans="1:27" ht="13.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spans="1:27" ht="13.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spans="1:27" ht="13.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spans="1:27" ht="13.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spans="1:27" ht="13.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spans="1:27" ht="13.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spans="1:27" ht="13.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spans="1:27" ht="13.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spans="1:27" ht="13.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spans="1:27" ht="13.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spans="1:27" ht="13.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spans="1:27" ht="13.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spans="1:27" ht="13.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spans="1:27" ht="13.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spans="1:27" ht="13.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spans="1:27" ht="13.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spans="1:27" ht="13.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spans="1:27" ht="13.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spans="1:27" ht="13.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spans="1:27" ht="13.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spans="1:27" ht="13.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spans="1:27" ht="13.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spans="1:27" ht="13.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spans="1:27" ht="13.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spans="1:27" ht="13.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spans="1:27" ht="13.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spans="1:27" ht="13.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spans="1:27" ht="13.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spans="1:27" ht="13.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spans="1:27" ht="13.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spans="1:27" ht="13.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spans="1:27" ht="13.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spans="1:27" ht="13.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spans="1:27" ht="13.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spans="1:27" ht="13.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spans="1:27" ht="13.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spans="1:27" ht="13.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spans="1:27" ht="13.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spans="1:27" ht="13.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spans="1:27" ht="13.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spans="1:27" ht="13.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spans="1:27" ht="13.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spans="1:27" ht="13.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spans="1:27" ht="13.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spans="1:27" ht="13.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spans="1:27" ht="13.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spans="1:27" ht="13.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spans="1:27" ht="13.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spans="1:27" ht="13.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spans="1:27" ht="13.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spans="1:27" ht="13.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spans="1:27" ht="13.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spans="1:27" ht="13.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spans="1:27" ht="13.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spans="1:27" ht="13.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spans="1:27" ht="13.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spans="1:27" ht="13.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spans="1:27" ht="13.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spans="1:27" ht="13.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spans="1:27" ht="13.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spans="1:27" ht="13.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spans="1:27" ht="13.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spans="1:27" ht="13.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spans="1:27" ht="13.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spans="1:27" ht="13.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spans="1:27" ht="13.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spans="1:27" ht="13.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spans="1:27" ht="13.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spans="1:27" ht="13.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spans="1:27" ht="13.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spans="1:27" ht="13.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spans="1:27" ht="13.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spans="1:27" ht="13.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spans="1:27" ht="13.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spans="1:27" ht="13.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spans="1:27" ht="13.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spans="1:27" ht="13.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spans="1:27" ht="13.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spans="1:27" ht="13.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spans="1:27" ht="13.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spans="1:27" ht="13.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spans="1:27" ht="13.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spans="1:27" ht="13.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spans="1:27" ht="13.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spans="1:27" ht="13.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spans="1:27" ht="13.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spans="1:27" ht="13.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spans="1:27" ht="13.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spans="1:27" ht="13.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spans="1:27" ht="13.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spans="1:27" ht="13.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spans="1:27" ht="13.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spans="1:27" ht="13.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spans="1:27" ht="13.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spans="1:27" ht="13.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spans="1:27" ht="13.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spans="1:27" ht="13.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spans="1:27" ht="13.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spans="1:27" ht="13.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spans="1:27" ht="13.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spans="1:27" ht="13.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spans="1:27" ht="13.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spans="1:27" ht="13.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spans="1:27" ht="13.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spans="1:27" ht="13.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spans="1:27" ht="13.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spans="1:27" ht="13.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spans="1:27" ht="13.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spans="1:27" ht="13.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spans="1:27" ht="13.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spans="1:27" ht="13.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spans="1:27" ht="13.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spans="1:27" ht="13.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spans="1:27" ht="13.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spans="1:27" ht="13.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spans="1:27" ht="13.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spans="1:27" ht="13.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spans="1:27" ht="13.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spans="1:27" ht="13.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spans="1:27" ht="13.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spans="1:27" ht="13.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spans="1:27" ht="13.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spans="1:27" ht="13.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spans="1:27" ht="13.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spans="1:27" ht="13.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spans="1:27" ht="13.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spans="1:27" ht="13.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spans="1:27" ht="13.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spans="1:27" ht="13.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spans="1:27" ht="13.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spans="1:27" ht="13.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spans="1:27" ht="13.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spans="1:27" ht="13.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spans="1:27" ht="13.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spans="1:27" ht="13.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spans="1:27" ht="13.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spans="1:27" ht="13.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spans="1:27" ht="13.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spans="1:27" ht="13.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spans="1:27" ht="13.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spans="1:27" ht="13.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spans="1:27" ht="13.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spans="1:27" ht="13.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spans="1:27" ht="13.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spans="1:27" ht="13.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spans="1:27" ht="13.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spans="1:27" ht="13.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spans="1:27" ht="13.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spans="1:27" ht="13.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spans="1:27" ht="13.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spans="1:27" ht="13.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spans="1:27" ht="13.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spans="1:27" ht="13.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spans="1:27" ht="13.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spans="1:27" ht="13.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spans="1:27" ht="13.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spans="1:27" ht="13.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spans="1:27" ht="13.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spans="1:27" ht="13.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spans="1:27" ht="13.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spans="1:27" ht="13.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spans="1:27" ht="13.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spans="1:27" ht="13.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spans="1:27" ht="13.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spans="1:27" ht="13.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spans="1:27" ht="13.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spans="1:27" ht="13.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spans="1:27" ht="13.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spans="1:27" ht="13.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spans="1:27" ht="13.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spans="1:27" ht="13.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spans="1:27" ht="13.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spans="1:27" ht="13.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spans="1:27" ht="13.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spans="1:27" ht="13.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spans="1:27" ht="13.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spans="1:27" ht="13.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spans="1:27" ht="13.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spans="1:27" ht="13.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spans="1:27" ht="13.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spans="1:27" ht="13.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spans="1:27" ht="13.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spans="1:27" ht="13.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17">
    <mergeCell ref="B47:C47"/>
    <mergeCell ref="D48:E48"/>
    <mergeCell ref="B140:C140"/>
    <mergeCell ref="B141:C141"/>
    <mergeCell ref="D141:E141"/>
    <mergeCell ref="B48:C48"/>
    <mergeCell ref="B78:C78"/>
    <mergeCell ref="B79:C79"/>
    <mergeCell ref="D79:E79"/>
    <mergeCell ref="B109:C109"/>
    <mergeCell ref="B110:C110"/>
    <mergeCell ref="D110:E110"/>
    <mergeCell ref="B1:F1"/>
    <mergeCell ref="B16:C16"/>
    <mergeCell ref="D16:E16"/>
    <mergeCell ref="B17:C17"/>
    <mergeCell ref="D17:E17"/>
  </mergeCells>
  <conditionalFormatting sqref="C14:C15">
    <cfRule type="colorScale" priority="1">
      <colorScale>
        <cfvo type="formula" val="1"/>
        <cfvo type="formula" val="2.5"/>
        <cfvo type="formula" val="4"/>
        <color rgb="FF6DCC32"/>
        <color rgb="FFFFE600"/>
        <color rgb="FFC00000"/>
      </colorScale>
    </cfRule>
  </conditionalFormatting>
  <conditionalFormatting sqref="E14:E15">
    <cfRule type="colorScale" priority="2">
      <colorScale>
        <cfvo type="formula" val="1"/>
        <cfvo type="formula" val="2.5"/>
        <cfvo type="formula" val="4"/>
        <color rgb="FF6DCC32"/>
        <color rgb="FFFFC000"/>
        <color rgb="FFC00000"/>
      </colorScale>
    </cfRule>
  </conditionalFormatting>
  <conditionalFormatting sqref="G14:G16">
    <cfRule type="colorScale" priority="3">
      <colorScale>
        <cfvo type="formula" val="1"/>
        <cfvo type="formula" val="8.5"/>
        <cfvo type="formula" val="16"/>
        <color rgb="FF6DCC32"/>
        <color rgb="FFFFC000"/>
        <color rgb="FFC00000"/>
      </colorScale>
    </cfRule>
  </conditionalFormatting>
  <conditionalFormatting sqref="C45:C46">
    <cfRule type="colorScale" priority="4">
      <colorScale>
        <cfvo type="formula" val="1"/>
        <cfvo type="formula" val="2.5"/>
        <cfvo type="formula" val="4"/>
        <color rgb="FF6DCC32"/>
        <color rgb="FFFFE600"/>
        <color rgb="FFC00000"/>
      </colorScale>
    </cfRule>
  </conditionalFormatting>
  <conditionalFormatting sqref="E45:E47">
    <cfRule type="colorScale" priority="5">
      <colorScale>
        <cfvo type="formula" val="1"/>
        <cfvo type="formula" val="2.5"/>
        <cfvo type="formula" val="4"/>
        <color rgb="FF6DCC32"/>
        <color rgb="FFFFC000"/>
        <color rgb="FFC00000"/>
      </colorScale>
    </cfRule>
  </conditionalFormatting>
  <conditionalFormatting sqref="G45:G47">
    <cfRule type="colorScale" priority="6">
      <colorScale>
        <cfvo type="formula" val="1"/>
        <cfvo type="formula" val="8.5"/>
        <cfvo type="formula" val="16"/>
        <color rgb="FF6DCC32"/>
        <color rgb="FFFFC000"/>
        <color rgb="FFC00000"/>
      </colorScale>
    </cfRule>
  </conditionalFormatting>
  <conditionalFormatting sqref="C76:C77">
    <cfRule type="colorScale" priority="7">
      <colorScale>
        <cfvo type="formula" val="1"/>
        <cfvo type="formula" val="2.5"/>
        <cfvo type="formula" val="4"/>
        <color rgb="FF6DCC32"/>
        <color rgb="FFFFE600"/>
        <color rgb="FFC00000"/>
      </colorScale>
    </cfRule>
  </conditionalFormatting>
  <conditionalFormatting sqref="E76:E78">
    <cfRule type="colorScale" priority="8">
      <colorScale>
        <cfvo type="formula" val="1"/>
        <cfvo type="formula" val="2.5"/>
        <cfvo type="formula" val="4"/>
        <color rgb="FF6DCC32"/>
        <color rgb="FFFFC000"/>
        <color rgb="FFC00000"/>
      </colorScale>
    </cfRule>
  </conditionalFormatting>
  <conditionalFormatting sqref="G76:G78">
    <cfRule type="colorScale" priority="9">
      <colorScale>
        <cfvo type="formula" val="1"/>
        <cfvo type="formula" val="8.5"/>
        <cfvo type="formula" val="16"/>
        <color rgb="FF6DCC32"/>
        <color rgb="FFFFC000"/>
        <color rgb="FFC00000"/>
      </colorScale>
    </cfRule>
  </conditionalFormatting>
  <conditionalFormatting sqref="C107:C108">
    <cfRule type="colorScale" priority="10">
      <colorScale>
        <cfvo type="formula" val="1"/>
        <cfvo type="formula" val="2.5"/>
        <cfvo type="formula" val="4"/>
        <color rgb="FF6DCC32"/>
        <color rgb="FFFFE600"/>
        <color rgb="FFC00000"/>
      </colorScale>
    </cfRule>
  </conditionalFormatting>
  <conditionalFormatting sqref="E107:E109">
    <cfRule type="colorScale" priority="11">
      <colorScale>
        <cfvo type="formula" val="1"/>
        <cfvo type="formula" val="2.5"/>
        <cfvo type="formula" val="4"/>
        <color rgb="FF6DCC32"/>
        <color rgb="FFFFC000"/>
        <color rgb="FFC00000"/>
      </colorScale>
    </cfRule>
  </conditionalFormatting>
  <conditionalFormatting sqref="G107:G109">
    <cfRule type="colorScale" priority="12">
      <colorScale>
        <cfvo type="formula" val="1"/>
        <cfvo type="formula" val="8.5"/>
        <cfvo type="formula" val="16"/>
        <color rgb="FF6DCC32"/>
        <color rgb="FFFFC000"/>
        <color rgb="FFC00000"/>
      </colorScale>
    </cfRule>
  </conditionalFormatting>
  <conditionalFormatting sqref="C138:C139">
    <cfRule type="colorScale" priority="13">
      <colorScale>
        <cfvo type="formula" val="1"/>
        <cfvo type="formula" val="2.5"/>
        <cfvo type="formula" val="4"/>
        <color rgb="FF6DCC32"/>
        <color rgb="FFFFE600"/>
        <color rgb="FFC00000"/>
      </colorScale>
    </cfRule>
  </conditionalFormatting>
  <conditionalFormatting sqref="E138:E140">
    <cfRule type="colorScale" priority="14">
      <colorScale>
        <cfvo type="formula" val="1"/>
        <cfvo type="formula" val="2.5"/>
        <cfvo type="formula" val="4"/>
        <color rgb="FF6DCC32"/>
        <color rgb="FFFFC000"/>
        <color rgb="FFC00000"/>
      </colorScale>
    </cfRule>
  </conditionalFormatting>
  <conditionalFormatting sqref="G138:G140">
    <cfRule type="colorScale" priority="15">
      <colorScale>
        <cfvo type="formula" val="1"/>
        <cfvo type="formula" val="8.5"/>
        <cfvo type="formula" val="16"/>
        <color rgb="FF6DCC32"/>
        <color rgb="FFFFC000"/>
        <color rgb="FFC00000"/>
      </colorScale>
    </cfRule>
  </conditionalFormatting>
  <conditionalFormatting sqref="C3:C6 C8">
    <cfRule type="colorScale" priority="16">
      <colorScale>
        <cfvo type="formula" val="1"/>
        <cfvo type="formula" val="2.5"/>
        <cfvo type="formula" val="4"/>
        <color rgb="FF6DCC32"/>
        <color rgb="FFFFE600"/>
        <color rgb="FFC00000"/>
      </colorScale>
    </cfRule>
  </conditionalFormatting>
  <conditionalFormatting sqref="D3:D6 D8">
    <cfRule type="colorScale" priority="17">
      <colorScale>
        <cfvo type="formula" val="1"/>
        <cfvo type="formula" val="2.5"/>
        <cfvo type="formula" val="4"/>
        <color rgb="FF6DCC32"/>
        <color rgb="FFFFE600"/>
        <color rgb="FFC00000"/>
      </colorScale>
    </cfRule>
  </conditionalFormatting>
  <conditionalFormatting sqref="E3:E6 E8">
    <cfRule type="colorScale" priority="18">
      <colorScale>
        <cfvo type="formula" val="1"/>
        <cfvo type="formula" val="8.5"/>
        <cfvo type="formula" val="16"/>
        <color rgb="FF6DCC32"/>
        <color rgb="FFFFE600"/>
        <color rgb="FFC00000"/>
      </colorScale>
    </cfRule>
  </conditionalFormatting>
  <conditionalFormatting sqref="C7">
    <cfRule type="colorScale" priority="19">
      <colorScale>
        <cfvo type="formula" val="1"/>
        <cfvo type="formula" val="2.5"/>
        <cfvo type="formula" val="4"/>
        <color rgb="FF6DCC32"/>
        <color rgb="FFFFE600"/>
        <color rgb="FFC00000"/>
      </colorScale>
    </cfRule>
  </conditionalFormatting>
  <conditionalFormatting sqref="D7">
    <cfRule type="colorScale" priority="20">
      <colorScale>
        <cfvo type="formula" val="1"/>
        <cfvo type="formula" val="2.5"/>
        <cfvo type="formula" val="4"/>
        <color rgb="FF6DCC32"/>
        <color rgb="FFFFE600"/>
        <color rgb="FFC00000"/>
      </colorScale>
    </cfRule>
  </conditionalFormatting>
  <conditionalFormatting sqref="E7">
    <cfRule type="colorScale" priority="21">
      <colorScale>
        <cfvo type="formula" val="1"/>
        <cfvo type="formula" val="8.5"/>
        <cfvo type="formula" val="16"/>
        <color rgb="FF6DCC32"/>
        <color rgb="FFFFE600"/>
        <color rgb="FFC00000"/>
      </colorScale>
    </cfRule>
  </conditionalFormatting>
  <dataValidations count="6">
    <dataValidation type="decimal" allowBlank="1" showInputMessage="1" showErrorMessage="1" prompt="Please enter a rating (1-3)" sqref="E3:E8 G14:G16 G45:G47 G76:G78 G107:G109 G138:G140" xr:uid="{00000000-0002-0000-0900-000000000000}">
      <formula1>1</formula1>
      <formula2>15</formula2>
    </dataValidation>
    <dataValidation type="list" allowBlank="1" showInputMessage="1" showErrorMessage="1" prompt="Please enter a rating (1-3)" sqref="E15 E46:E47 E77:E78 E108:E109 E139:E140" xr:uid="{00000000-0002-0000-0900-000001000000}">
      <formula1>"1,2,3"</formula1>
    </dataValidation>
    <dataValidation type="list" allowBlank="1" showInputMessage="1" showErrorMessage="1" prompt="Please enter a rating (1-5)" sqref="C15 C46 C77 C108 C138:C139" xr:uid="{00000000-0002-0000-0900-000002000000}">
      <formula1>"1,2,3"</formula1>
    </dataValidation>
    <dataValidation type="list" allowBlank="1" showInputMessage="1" showErrorMessage="1" prompt="Please enter a rating (1-5)" sqref="C14 C45 C76 C107" xr:uid="{00000000-0002-0000-0900-000003000000}">
      <formula1>"1,2,3,4"</formula1>
    </dataValidation>
    <dataValidation type="list" allowBlank="1" showInputMessage="1" showErrorMessage="1" prompt="Please enter a rating (1-3)" sqref="E14 E45 E76 E107 E138" xr:uid="{00000000-0002-0000-0900-000004000000}">
      <formula1>"1,2,3,4"</formula1>
    </dataValidation>
    <dataValidation type="list" allowBlank="1" showErrorMessage="1" sqref="C10" xr:uid="{00000000-0002-0000-0900-000005000000}">
      <formula1>$B$4:$B$8</formula1>
    </dataValidation>
  </dataValidations>
  <pageMargins left="0.7" right="0.7" top="0.75" bottom="0.75" header="0" footer="0"/>
  <pageSetup paperSize="9"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Z1000"/>
  <sheetViews>
    <sheetView workbookViewId="0"/>
  </sheetViews>
  <sheetFormatPr defaultColWidth="14.40625" defaultRowHeight="15" customHeight="1"/>
  <cols>
    <col min="1" max="1" width="8.86328125" customWidth="1"/>
    <col min="2" max="2" width="3.1328125" customWidth="1"/>
    <col min="3" max="3" width="26.40625" customWidth="1"/>
    <col min="4" max="6" width="8.6796875" customWidth="1"/>
    <col min="7" max="7" width="3.1328125" customWidth="1"/>
    <col min="8" max="8" width="8.86328125" customWidth="1"/>
    <col min="9" max="9" width="3.1328125" customWidth="1"/>
    <col min="10" max="10" width="23.1328125" customWidth="1"/>
    <col min="11" max="26" width="8.6796875" customWidth="1"/>
  </cols>
  <sheetData>
    <row r="1" spans="1:26" ht="14.25" customHeight="1">
      <c r="A1" s="4"/>
      <c r="B1" s="1"/>
      <c r="C1" s="1"/>
      <c r="D1" s="1"/>
      <c r="E1" s="1"/>
      <c r="F1" s="1"/>
      <c r="G1" s="1"/>
      <c r="H1" s="1"/>
      <c r="I1" s="1"/>
      <c r="J1" s="1"/>
      <c r="K1" s="1"/>
      <c r="L1" s="1"/>
      <c r="M1" s="1"/>
      <c r="N1" s="1"/>
      <c r="O1" s="1"/>
      <c r="P1" s="1"/>
      <c r="Q1" s="1"/>
      <c r="R1" s="1"/>
      <c r="S1" s="1"/>
      <c r="T1" s="1"/>
      <c r="U1" s="1"/>
      <c r="V1" s="1"/>
      <c r="W1" s="1"/>
      <c r="X1" s="1"/>
      <c r="Y1" s="1"/>
      <c r="Z1" s="1"/>
    </row>
    <row r="2" spans="1:26" ht="14.25" customHeight="1">
      <c r="A2" s="4"/>
      <c r="B2" s="1"/>
      <c r="C2" s="1"/>
      <c r="D2" s="1"/>
      <c r="E2" s="1"/>
      <c r="F2" s="1"/>
      <c r="G2" s="1"/>
      <c r="H2" s="1"/>
      <c r="I2" s="1"/>
      <c r="J2" s="1"/>
      <c r="K2" s="1"/>
      <c r="L2" s="1"/>
      <c r="M2" s="1"/>
      <c r="N2" s="1"/>
      <c r="O2" s="1"/>
      <c r="P2" s="1"/>
      <c r="Q2" s="1"/>
      <c r="R2" s="1"/>
      <c r="S2" s="1"/>
      <c r="T2" s="1"/>
      <c r="U2" s="1"/>
      <c r="V2" s="1"/>
      <c r="W2" s="1"/>
      <c r="X2" s="1"/>
      <c r="Y2" s="1"/>
      <c r="Z2" s="1"/>
    </row>
    <row r="3" spans="1:26" ht="14.25" customHeight="1">
      <c r="A3" s="4"/>
      <c r="B3" s="1"/>
      <c r="C3" s="98" t="s">
        <v>222</v>
      </c>
      <c r="D3" s="83"/>
      <c r="E3" s="83"/>
      <c r="F3" s="83"/>
      <c r="G3" s="83"/>
      <c r="H3" s="83"/>
      <c r="I3" s="83"/>
      <c r="J3" s="83"/>
      <c r="K3" s="83"/>
      <c r="L3" s="83"/>
      <c r="M3" s="84"/>
      <c r="N3" s="1"/>
      <c r="O3" s="1"/>
      <c r="P3" s="1"/>
      <c r="Q3" s="1"/>
      <c r="R3" s="1"/>
      <c r="S3" s="1"/>
      <c r="T3" s="1"/>
      <c r="U3" s="1"/>
      <c r="V3" s="1"/>
      <c r="W3" s="1"/>
      <c r="X3" s="1"/>
      <c r="Y3" s="1"/>
      <c r="Z3" s="1"/>
    </row>
    <row r="4" spans="1:26" ht="14.25" customHeight="1">
      <c r="A4" s="4"/>
      <c r="B4" s="1"/>
      <c r="C4" s="1"/>
      <c r="D4" s="1"/>
      <c r="E4" s="1"/>
      <c r="F4" s="1"/>
      <c r="G4" s="1"/>
      <c r="H4" s="1"/>
      <c r="I4" s="1"/>
      <c r="J4" s="1"/>
      <c r="K4" s="1"/>
      <c r="L4" s="1"/>
      <c r="M4" s="1"/>
      <c r="N4" s="1"/>
      <c r="O4" s="1"/>
      <c r="P4" s="1"/>
      <c r="Q4" s="1"/>
      <c r="R4" s="1"/>
      <c r="S4" s="1"/>
      <c r="T4" s="1"/>
      <c r="U4" s="1"/>
      <c r="V4" s="1"/>
      <c r="W4" s="1"/>
      <c r="X4" s="1"/>
      <c r="Y4" s="1"/>
      <c r="Z4" s="1"/>
    </row>
    <row r="5" spans="1:26" ht="14.25" customHeight="1">
      <c r="A5" s="4"/>
      <c r="B5" s="1"/>
      <c r="C5" s="1"/>
      <c r="D5" s="1"/>
      <c r="E5" s="1"/>
      <c r="F5" s="1"/>
      <c r="G5" s="1"/>
      <c r="H5" s="1"/>
      <c r="I5" s="1"/>
      <c r="J5" s="1"/>
      <c r="K5" s="1"/>
      <c r="L5" s="1"/>
      <c r="M5" s="1"/>
      <c r="N5" s="1"/>
      <c r="O5" s="1"/>
      <c r="P5" s="1"/>
      <c r="Q5" s="1"/>
      <c r="R5" s="1"/>
      <c r="S5" s="1"/>
      <c r="T5" s="1"/>
      <c r="U5" s="1"/>
      <c r="V5" s="1"/>
      <c r="W5" s="1"/>
      <c r="X5" s="1"/>
      <c r="Y5" s="1"/>
      <c r="Z5" s="1"/>
    </row>
    <row r="6" spans="1:26" ht="14.25" customHeight="1">
      <c r="A6" s="4"/>
      <c r="B6" s="1"/>
      <c r="C6" s="1"/>
      <c r="D6" s="1" t="s">
        <v>223</v>
      </c>
      <c r="E6" s="1" t="s">
        <v>30</v>
      </c>
      <c r="F6" s="1" t="s">
        <v>224</v>
      </c>
      <c r="G6" s="1"/>
      <c r="H6" s="1"/>
      <c r="I6" s="1"/>
      <c r="J6" s="1"/>
      <c r="K6" s="1" t="s">
        <v>223</v>
      </c>
      <c r="L6" s="1" t="s">
        <v>30</v>
      </c>
      <c r="M6" s="1" t="s">
        <v>224</v>
      </c>
      <c r="N6" s="1"/>
      <c r="O6" s="1"/>
      <c r="P6" s="1"/>
      <c r="Q6" s="1"/>
      <c r="R6" s="1"/>
      <c r="S6" s="1"/>
      <c r="T6" s="1"/>
      <c r="U6" s="1"/>
      <c r="V6" s="1"/>
      <c r="W6" s="1"/>
      <c r="X6" s="1"/>
      <c r="Y6" s="1"/>
      <c r="Z6" s="1"/>
    </row>
    <row r="7" spans="1:26" ht="14.25" customHeight="1">
      <c r="A7" s="79" t="s">
        <v>3</v>
      </c>
      <c r="B7" s="4"/>
      <c r="C7" s="5"/>
      <c r="D7" s="6">
        <f>Console!H3</f>
        <v>2</v>
      </c>
      <c r="E7" s="6">
        <f>Console!I3</f>
        <v>2</v>
      </c>
      <c r="F7" s="6">
        <f>Console!J3</f>
        <v>4</v>
      </c>
      <c r="G7" s="1"/>
      <c r="H7" s="79" t="s">
        <v>16</v>
      </c>
      <c r="I7" s="1"/>
      <c r="J7" s="21" t="s">
        <v>4</v>
      </c>
      <c r="K7" s="7">
        <f>Console!H23</f>
        <v>2.6</v>
      </c>
      <c r="L7" s="7">
        <f>Console!I23</f>
        <v>3</v>
      </c>
      <c r="M7" s="7">
        <f>Console!J23</f>
        <v>8</v>
      </c>
      <c r="N7" s="1"/>
      <c r="O7" s="1"/>
      <c r="P7" s="1"/>
      <c r="Q7" s="1"/>
      <c r="R7" s="1"/>
      <c r="S7" s="1"/>
      <c r="T7" s="1"/>
      <c r="U7" s="1"/>
      <c r="V7" s="1"/>
      <c r="W7" s="1"/>
      <c r="X7" s="1"/>
      <c r="Y7" s="1"/>
      <c r="Z7" s="1"/>
    </row>
    <row r="8" spans="1:26" ht="14.25" customHeight="1">
      <c r="A8" s="80"/>
      <c r="B8" s="4"/>
      <c r="C8" s="8" t="s">
        <v>5</v>
      </c>
      <c r="D8" s="6">
        <f>Console!H4</f>
        <v>1</v>
      </c>
      <c r="E8" s="6">
        <f>Console!I4</f>
        <v>2</v>
      </c>
      <c r="F8" s="6">
        <f>Console!J4</f>
        <v>2</v>
      </c>
      <c r="G8" s="1"/>
      <c r="H8" s="80"/>
      <c r="I8" s="1"/>
      <c r="J8" s="22" t="s">
        <v>17</v>
      </c>
      <c r="K8" s="7">
        <f>Console!H24</f>
        <v>4</v>
      </c>
      <c r="L8" s="7">
        <f>Console!I24</f>
        <v>4</v>
      </c>
      <c r="M8" s="7">
        <f>Console!J24</f>
        <v>16</v>
      </c>
      <c r="N8" s="1"/>
      <c r="O8" s="1"/>
      <c r="P8" s="1"/>
      <c r="Q8" s="1"/>
      <c r="R8" s="1"/>
      <c r="S8" s="1"/>
      <c r="T8" s="1"/>
      <c r="U8" s="1"/>
      <c r="V8" s="1"/>
      <c r="W8" s="1"/>
      <c r="X8" s="1"/>
      <c r="Y8" s="1"/>
      <c r="Z8" s="1"/>
    </row>
    <row r="9" spans="1:26" ht="14.25" customHeight="1">
      <c r="A9" s="80"/>
      <c r="B9" s="4"/>
      <c r="C9" s="11" t="s">
        <v>6</v>
      </c>
      <c r="D9" s="6">
        <f>Console!H5</f>
        <v>2</v>
      </c>
      <c r="E9" s="6">
        <f>Console!I5</f>
        <v>1</v>
      </c>
      <c r="F9" s="6">
        <f>Console!J5</f>
        <v>2</v>
      </c>
      <c r="G9" s="1"/>
      <c r="H9" s="80"/>
      <c r="I9" s="1"/>
      <c r="J9" s="23" t="s">
        <v>18</v>
      </c>
      <c r="K9" s="7">
        <f>Console!H25</f>
        <v>2</v>
      </c>
      <c r="L9" s="7">
        <f>Console!I25</f>
        <v>3</v>
      </c>
      <c r="M9" s="7">
        <f>Console!J25</f>
        <v>6</v>
      </c>
      <c r="N9" s="1"/>
      <c r="O9" s="1"/>
      <c r="P9" s="1"/>
      <c r="Q9" s="1"/>
      <c r="R9" s="1"/>
      <c r="S9" s="1"/>
      <c r="T9" s="1"/>
      <c r="U9" s="1"/>
      <c r="V9" s="1"/>
      <c r="W9" s="1"/>
      <c r="X9" s="1"/>
      <c r="Y9" s="1"/>
      <c r="Z9" s="1"/>
    </row>
    <row r="10" spans="1:26" ht="14.25" customHeight="1">
      <c r="A10" s="80"/>
      <c r="B10" s="4"/>
      <c r="C10" s="12" t="s">
        <v>7</v>
      </c>
      <c r="D10" s="6">
        <f>Console!H6</f>
        <v>1</v>
      </c>
      <c r="E10" s="6">
        <f>Console!I6</f>
        <v>1</v>
      </c>
      <c r="F10" s="6">
        <f>Console!J6</f>
        <v>1</v>
      </c>
      <c r="G10" s="1"/>
      <c r="H10" s="80"/>
      <c r="I10" s="1"/>
      <c r="J10" s="22" t="s">
        <v>19</v>
      </c>
      <c r="K10" s="7">
        <f>Console!H26</f>
        <v>1</v>
      </c>
      <c r="L10" s="7">
        <f>Console!I26</f>
        <v>2</v>
      </c>
      <c r="M10" s="7">
        <f>Console!J26</f>
        <v>2</v>
      </c>
      <c r="N10" s="1"/>
      <c r="O10" s="1"/>
      <c r="P10" s="1"/>
      <c r="Q10" s="1"/>
      <c r="R10" s="1"/>
      <c r="S10" s="1"/>
      <c r="T10" s="1"/>
      <c r="U10" s="1"/>
      <c r="V10" s="1"/>
      <c r="W10" s="1"/>
      <c r="X10" s="1"/>
      <c r="Y10" s="1"/>
      <c r="Z10" s="1"/>
    </row>
    <row r="11" spans="1:26" ht="14.25" customHeight="1">
      <c r="A11" s="81"/>
      <c r="B11" s="4"/>
      <c r="C11" s="13" t="s">
        <v>8</v>
      </c>
      <c r="D11" s="6">
        <f>Console!H7</f>
        <v>4</v>
      </c>
      <c r="E11" s="6">
        <f>Console!I7</f>
        <v>3</v>
      </c>
      <c r="F11" s="6">
        <f>Console!J7</f>
        <v>12</v>
      </c>
      <c r="G11" s="1"/>
      <c r="H11" s="80"/>
      <c r="I11" s="1"/>
      <c r="J11" s="23" t="s">
        <v>20</v>
      </c>
      <c r="K11" s="7">
        <f>Console!H27</f>
        <v>3</v>
      </c>
      <c r="L11" s="7">
        <f>Console!I27</f>
        <v>3</v>
      </c>
      <c r="M11" s="7">
        <f>Console!J27</f>
        <v>9</v>
      </c>
      <c r="N11" s="1"/>
      <c r="O11" s="1"/>
      <c r="P11" s="1"/>
      <c r="Q11" s="1"/>
      <c r="R11" s="1"/>
      <c r="S11" s="1"/>
      <c r="T11" s="1"/>
      <c r="U11" s="1"/>
      <c r="V11" s="1"/>
      <c r="W11" s="1"/>
      <c r="X11" s="1"/>
      <c r="Y11" s="1"/>
      <c r="Z11" s="1"/>
    </row>
    <row r="12" spans="1:26" ht="14.25" customHeight="1">
      <c r="A12" s="4"/>
      <c r="B12" s="4"/>
      <c r="C12" s="4"/>
      <c r="D12" s="15"/>
      <c r="E12" s="16"/>
      <c r="F12" s="16"/>
      <c r="G12" s="16"/>
      <c r="H12" s="81"/>
      <c r="I12" s="1"/>
      <c r="J12" s="24" t="s">
        <v>21</v>
      </c>
      <c r="K12" s="7">
        <f>Console!H28</f>
        <v>3</v>
      </c>
      <c r="L12" s="7">
        <f>Console!I28</f>
        <v>3</v>
      </c>
      <c r="M12" s="7">
        <f>Console!J28</f>
        <v>9</v>
      </c>
      <c r="N12" s="1"/>
      <c r="O12" s="1"/>
      <c r="P12" s="1"/>
      <c r="Q12" s="1"/>
      <c r="R12" s="1"/>
      <c r="S12" s="1"/>
      <c r="T12" s="1"/>
      <c r="U12" s="1"/>
      <c r="V12" s="1"/>
      <c r="W12" s="1"/>
      <c r="X12" s="1"/>
      <c r="Y12" s="1"/>
      <c r="Z12" s="1"/>
    </row>
    <row r="13" spans="1:26" ht="14.25" customHeight="1">
      <c r="A13" s="79" t="s">
        <v>9</v>
      </c>
      <c r="B13" s="4"/>
      <c r="C13" s="5" t="s">
        <v>4</v>
      </c>
      <c r="D13" s="6">
        <f>Console!H9</f>
        <v>2.2000000000000002</v>
      </c>
      <c r="E13" s="6">
        <f>Console!I9</f>
        <v>3.6</v>
      </c>
      <c r="F13" s="6">
        <f>Console!J9</f>
        <v>7</v>
      </c>
      <c r="G13" s="1"/>
      <c r="H13" s="1"/>
      <c r="I13" s="1"/>
      <c r="J13" s="1"/>
      <c r="K13" s="1"/>
      <c r="L13" s="1"/>
      <c r="M13" s="1"/>
      <c r="N13" s="1"/>
      <c r="O13" s="1"/>
      <c r="P13" s="1"/>
      <c r="Q13" s="1"/>
      <c r="R13" s="1"/>
      <c r="S13" s="1"/>
      <c r="T13" s="1"/>
      <c r="U13" s="1"/>
      <c r="V13" s="1"/>
      <c r="W13" s="1"/>
      <c r="X13" s="1"/>
      <c r="Y13" s="1"/>
      <c r="Z13" s="1"/>
    </row>
    <row r="14" spans="1:26" ht="14.25" customHeight="1">
      <c r="A14" s="80"/>
      <c r="B14" s="4"/>
      <c r="C14" s="17" t="s">
        <v>10</v>
      </c>
      <c r="D14" s="6">
        <f>Console!H10</f>
        <v>1</v>
      </c>
      <c r="E14" s="6">
        <f>Console!I10</f>
        <v>4</v>
      </c>
      <c r="F14" s="6">
        <f>Console!J10</f>
        <v>4</v>
      </c>
      <c r="G14" s="1"/>
      <c r="H14" s="79" t="s">
        <v>22</v>
      </c>
      <c r="I14" s="1"/>
      <c r="J14" s="21" t="s">
        <v>4</v>
      </c>
      <c r="K14" s="7">
        <f>Console!H30</f>
        <v>1.3333333333333333</v>
      </c>
      <c r="L14" s="7">
        <f>Console!I30</f>
        <v>3</v>
      </c>
      <c r="M14" s="7">
        <f>Console!J30</f>
        <v>4</v>
      </c>
      <c r="N14" s="1"/>
      <c r="O14" s="1"/>
      <c r="P14" s="1"/>
      <c r="Q14" s="1"/>
      <c r="R14" s="1"/>
      <c r="S14" s="1"/>
      <c r="T14" s="1"/>
      <c r="U14" s="1"/>
      <c r="V14" s="1"/>
      <c r="W14" s="1"/>
      <c r="X14" s="1"/>
      <c r="Y14" s="1"/>
      <c r="Z14" s="1"/>
    </row>
    <row r="15" spans="1:26" ht="14.25" customHeight="1">
      <c r="A15" s="80"/>
      <c r="B15" s="4"/>
      <c r="C15" s="18" t="s">
        <v>11</v>
      </c>
      <c r="D15" s="6">
        <f>Console!H11</f>
        <v>2</v>
      </c>
      <c r="E15" s="6">
        <f>Console!I11</f>
        <v>4</v>
      </c>
      <c r="F15" s="6">
        <f>Console!J11</f>
        <v>8</v>
      </c>
      <c r="G15" s="1"/>
      <c r="H15" s="80"/>
      <c r="I15" s="1"/>
      <c r="J15" s="25" t="s">
        <v>23</v>
      </c>
      <c r="K15" s="7">
        <f>Console!H31</f>
        <v>2</v>
      </c>
      <c r="L15" s="7">
        <f>Console!I31</f>
        <v>3</v>
      </c>
      <c r="M15" s="7">
        <f>Console!J31</f>
        <v>6</v>
      </c>
      <c r="N15" s="1"/>
      <c r="O15" s="1"/>
      <c r="P15" s="1"/>
      <c r="Q15" s="1"/>
      <c r="R15" s="1"/>
      <c r="S15" s="1"/>
      <c r="T15" s="1"/>
      <c r="U15" s="1"/>
      <c r="V15" s="1"/>
      <c r="W15" s="1"/>
      <c r="X15" s="1"/>
      <c r="Y15" s="1"/>
      <c r="Z15" s="1"/>
    </row>
    <row r="16" spans="1:26" ht="14.25" customHeight="1">
      <c r="A16" s="80"/>
      <c r="B16" s="4"/>
      <c r="C16" s="19" t="s">
        <v>12</v>
      </c>
      <c r="D16" s="6">
        <f>Console!H12</f>
        <v>1</v>
      </c>
      <c r="E16" s="6">
        <f>Console!I12</f>
        <v>4</v>
      </c>
      <c r="F16" s="6">
        <f>Console!J12</f>
        <v>4</v>
      </c>
      <c r="G16" s="1"/>
      <c r="H16" s="80"/>
      <c r="I16" s="1"/>
      <c r="J16" s="23" t="s">
        <v>24</v>
      </c>
      <c r="K16" s="7">
        <f>Console!H32</f>
        <v>1</v>
      </c>
      <c r="L16" s="7">
        <f>Console!I32</f>
        <v>2</v>
      </c>
      <c r="M16" s="7">
        <f>Console!J32</f>
        <v>2</v>
      </c>
      <c r="N16" s="1"/>
      <c r="O16" s="1"/>
      <c r="P16" s="1"/>
      <c r="Q16" s="1"/>
      <c r="R16" s="1"/>
      <c r="S16" s="1"/>
      <c r="T16" s="1"/>
      <c r="U16" s="1"/>
      <c r="V16" s="1"/>
      <c r="W16" s="1"/>
      <c r="X16" s="1"/>
      <c r="Y16" s="1"/>
      <c r="Z16" s="1"/>
    </row>
    <row r="17" spans="1:26" ht="14.25" customHeight="1">
      <c r="A17" s="80"/>
      <c r="B17" s="4"/>
      <c r="C17" s="18" t="s">
        <v>13</v>
      </c>
      <c r="D17" s="6">
        <f>Console!H13</f>
        <v>4</v>
      </c>
      <c r="E17" s="6">
        <f>Console!I13</f>
        <v>3</v>
      </c>
      <c r="F17" s="6">
        <f>Console!J13</f>
        <v>12</v>
      </c>
      <c r="G17" s="1"/>
      <c r="H17" s="81"/>
      <c r="I17" s="1"/>
      <c r="J17" s="24" t="s">
        <v>25</v>
      </c>
      <c r="K17" s="7">
        <f>Console!H33</f>
        <v>1</v>
      </c>
      <c r="L17" s="7">
        <f>Console!I33</f>
        <v>4</v>
      </c>
      <c r="M17" s="7">
        <f>Console!J33</f>
        <v>4</v>
      </c>
      <c r="N17" s="1"/>
      <c r="O17" s="1"/>
      <c r="P17" s="1"/>
      <c r="Q17" s="1"/>
      <c r="R17" s="1"/>
      <c r="S17" s="1"/>
      <c r="T17" s="1"/>
      <c r="U17" s="1"/>
      <c r="V17" s="1"/>
      <c r="W17" s="1"/>
      <c r="X17" s="1"/>
      <c r="Y17" s="1"/>
      <c r="Z17" s="1"/>
    </row>
    <row r="18" spans="1:26" ht="14.25" customHeight="1">
      <c r="A18" s="81"/>
      <c r="B18" s="4"/>
      <c r="C18" s="20" t="s">
        <v>14</v>
      </c>
      <c r="D18" s="6">
        <f>Console!H14</f>
        <v>3</v>
      </c>
      <c r="E18" s="6">
        <f>Console!I14</f>
        <v>3</v>
      </c>
      <c r="F18" s="6">
        <f>Console!J14</f>
        <v>9</v>
      </c>
      <c r="G18" s="1"/>
      <c r="H18" s="1"/>
      <c r="I18" s="1"/>
      <c r="J18" s="1"/>
      <c r="K18" s="1"/>
      <c r="L18" s="1"/>
      <c r="M18" s="1"/>
      <c r="N18" s="1"/>
      <c r="O18" s="1"/>
      <c r="P18" s="1"/>
      <c r="Q18" s="1"/>
      <c r="R18" s="1"/>
      <c r="S18" s="1"/>
      <c r="T18" s="1"/>
      <c r="U18" s="1"/>
      <c r="V18" s="1"/>
      <c r="W18" s="1"/>
      <c r="X18" s="1"/>
      <c r="Y18" s="1"/>
      <c r="Z18" s="1"/>
    </row>
    <row r="19" spans="1:26" ht="14.25" customHeight="1">
      <c r="A19" s="4"/>
      <c r="B19" s="4"/>
      <c r="C19" s="1"/>
      <c r="D19" s="16"/>
      <c r="E19" s="16"/>
      <c r="F19" s="16"/>
      <c r="G19" s="1"/>
      <c r="H19" s="79" t="s">
        <v>26</v>
      </c>
      <c r="I19" s="1"/>
      <c r="J19" s="21" t="s">
        <v>4</v>
      </c>
      <c r="K19" s="26">
        <f>Console!H35</f>
        <v>2</v>
      </c>
      <c r="L19" s="26">
        <f>Console!I35</f>
        <v>3.25</v>
      </c>
      <c r="M19" s="26">
        <f>Console!J35</f>
        <v>6</v>
      </c>
      <c r="N19" s="1"/>
      <c r="O19" s="1"/>
      <c r="P19" s="1"/>
      <c r="Q19" s="1"/>
      <c r="R19" s="1"/>
      <c r="S19" s="1"/>
      <c r="T19" s="1"/>
      <c r="U19" s="1"/>
      <c r="V19" s="1"/>
      <c r="W19" s="1"/>
      <c r="X19" s="1"/>
      <c r="Y19" s="1"/>
      <c r="Z19" s="1"/>
    </row>
    <row r="20" spans="1:26" ht="14.25" customHeight="1">
      <c r="A20" s="79" t="s">
        <v>15</v>
      </c>
      <c r="B20" s="1"/>
      <c r="C20" s="5" t="s">
        <v>4</v>
      </c>
      <c r="D20" s="6">
        <f>Console!H16</f>
        <v>2.4</v>
      </c>
      <c r="E20" s="6">
        <f>Console!I16</f>
        <v>2.6</v>
      </c>
      <c r="F20" s="6">
        <f>Console!J16</f>
        <v>6</v>
      </c>
      <c r="G20" s="1"/>
      <c r="H20" s="80"/>
      <c r="I20" s="1"/>
      <c r="J20" s="27" t="s">
        <v>27</v>
      </c>
      <c r="K20" s="26">
        <f>Console!H36</f>
        <v>2</v>
      </c>
      <c r="L20" s="26">
        <f>Console!I36</f>
        <v>2</v>
      </c>
      <c r="M20" s="26">
        <f>Console!J36</f>
        <v>4</v>
      </c>
      <c r="N20" s="1"/>
      <c r="O20" s="1"/>
      <c r="P20" s="1"/>
      <c r="Q20" s="1"/>
      <c r="R20" s="1"/>
      <c r="S20" s="1"/>
      <c r="T20" s="1"/>
      <c r="U20" s="1"/>
      <c r="V20" s="1"/>
      <c r="W20" s="1"/>
      <c r="X20" s="1"/>
      <c r="Y20" s="1"/>
      <c r="Z20" s="1"/>
    </row>
    <row r="21" spans="1:26" ht="14.25" customHeight="1">
      <c r="A21" s="80"/>
      <c r="B21" s="1"/>
      <c r="C21" s="17" t="str">
        <f>Console!G17</f>
        <v>Sourcing and Supply Chain</v>
      </c>
      <c r="D21" s="6">
        <f>Console!H17</f>
        <v>2</v>
      </c>
      <c r="E21" s="6">
        <f>Console!I17</f>
        <v>4</v>
      </c>
      <c r="F21" s="6">
        <f>Console!J17</f>
        <v>8</v>
      </c>
      <c r="G21" s="1"/>
      <c r="H21" s="80"/>
      <c r="I21" s="1"/>
      <c r="J21" s="29" t="s">
        <v>28</v>
      </c>
      <c r="K21" s="26">
        <f>Console!H37</f>
        <v>2</v>
      </c>
      <c r="L21" s="26">
        <f>Console!I37</f>
        <v>4</v>
      </c>
      <c r="M21" s="26">
        <f>Console!J37</f>
        <v>8</v>
      </c>
      <c r="N21" s="1"/>
      <c r="O21" s="1"/>
      <c r="P21" s="1"/>
      <c r="Q21" s="1"/>
      <c r="R21" s="1"/>
      <c r="S21" s="1"/>
      <c r="T21" s="1"/>
      <c r="U21" s="1"/>
      <c r="V21" s="1"/>
      <c r="W21" s="1"/>
      <c r="X21" s="1"/>
      <c r="Y21" s="1"/>
      <c r="Z21" s="1"/>
    </row>
    <row r="22" spans="1:26" ht="14.25" customHeight="1">
      <c r="A22" s="80"/>
      <c r="B22" s="1"/>
      <c r="C22" s="17" t="str">
        <f>Console!G18</f>
        <v>Internal Operations and Assets</v>
      </c>
      <c r="D22" s="6">
        <f>Console!H18</f>
        <v>3</v>
      </c>
      <c r="E22" s="6">
        <f>Console!I18</f>
        <v>1</v>
      </c>
      <c r="F22" s="6">
        <f>Console!J18</f>
        <v>3</v>
      </c>
      <c r="G22" s="1"/>
      <c r="H22" s="80"/>
      <c r="I22" s="1"/>
      <c r="J22" s="27" t="s">
        <v>29</v>
      </c>
      <c r="K22" s="26">
        <f>Console!H38</f>
        <v>1</v>
      </c>
      <c r="L22" s="26">
        <f>Console!I38</f>
        <v>4</v>
      </c>
      <c r="M22" s="26">
        <f>Console!J38</f>
        <v>4</v>
      </c>
      <c r="N22" s="1"/>
      <c r="O22" s="1"/>
      <c r="P22" s="1"/>
      <c r="Q22" s="1"/>
      <c r="R22" s="1"/>
      <c r="S22" s="1"/>
      <c r="T22" s="1"/>
      <c r="U22" s="1"/>
      <c r="V22" s="1"/>
      <c r="W22" s="1"/>
      <c r="X22" s="1"/>
      <c r="Y22" s="1"/>
      <c r="Z22" s="1"/>
    </row>
    <row r="23" spans="1:26" ht="14.25" customHeight="1">
      <c r="A23" s="80"/>
      <c r="B23" s="1"/>
      <c r="C23" s="17" t="str">
        <f>Console!G19</f>
        <v>Distribution and Logistics</v>
      </c>
      <c r="D23" s="6">
        <f>Console!H19</f>
        <v>1</v>
      </c>
      <c r="E23" s="6">
        <f>Console!I19</f>
        <v>2</v>
      </c>
      <c r="F23" s="6">
        <f>Console!J19</f>
        <v>2</v>
      </c>
      <c r="G23" s="1"/>
      <c r="H23" s="81"/>
      <c r="I23" s="1"/>
      <c r="J23" s="30" t="s">
        <v>18</v>
      </c>
      <c r="K23" s="26">
        <f>Console!H39</f>
        <v>3</v>
      </c>
      <c r="L23" s="26">
        <f>Console!I39</f>
        <v>3</v>
      </c>
      <c r="M23" s="26">
        <f>Console!J39</f>
        <v>9</v>
      </c>
      <c r="N23" s="1"/>
      <c r="O23" s="1"/>
      <c r="P23" s="1"/>
      <c r="Q23" s="1"/>
      <c r="R23" s="1"/>
      <c r="S23" s="1"/>
      <c r="T23" s="1"/>
      <c r="U23" s="1"/>
      <c r="V23" s="1"/>
      <c r="W23" s="1"/>
      <c r="X23" s="1"/>
      <c r="Y23" s="1"/>
      <c r="Z23" s="1"/>
    </row>
    <row r="24" spans="1:26" ht="14.25" customHeight="1">
      <c r="A24" s="80"/>
      <c r="B24" s="1"/>
      <c r="C24" s="17" t="str">
        <f>Console!G20</f>
        <v>Operations Strategy</v>
      </c>
      <c r="D24" s="6">
        <f>Console!H20</f>
        <v>3</v>
      </c>
      <c r="E24" s="6">
        <f>Console!I20</f>
        <v>3</v>
      </c>
      <c r="F24" s="6">
        <f>Console!J20</f>
        <v>9</v>
      </c>
      <c r="G24" s="1"/>
      <c r="H24" s="4"/>
      <c r="I24" s="1"/>
      <c r="J24" s="1"/>
      <c r="K24" s="16"/>
      <c r="L24" s="16"/>
      <c r="M24" s="16"/>
      <c r="N24" s="1"/>
      <c r="O24" s="1"/>
      <c r="P24" s="1"/>
      <c r="Q24" s="1"/>
      <c r="R24" s="1"/>
      <c r="S24" s="1"/>
      <c r="T24" s="1"/>
      <c r="U24" s="1"/>
      <c r="V24" s="1"/>
      <c r="W24" s="1"/>
      <c r="X24" s="1"/>
      <c r="Y24" s="1"/>
      <c r="Z24" s="1"/>
    </row>
    <row r="25" spans="1:26" ht="14.25" customHeight="1">
      <c r="A25" s="81"/>
      <c r="B25" s="1"/>
      <c r="C25" s="17" t="s">
        <v>225</v>
      </c>
      <c r="D25" s="6">
        <f>Console!H21</f>
        <v>3</v>
      </c>
      <c r="E25" s="6">
        <f>Console!I21</f>
        <v>3</v>
      </c>
      <c r="F25" s="6">
        <f>Console!J21</f>
        <v>9</v>
      </c>
      <c r="G25" s="1"/>
      <c r="H25" s="79" t="s">
        <v>30</v>
      </c>
      <c r="I25" s="1"/>
      <c r="J25" s="21" t="s">
        <v>4</v>
      </c>
      <c r="K25" s="26">
        <f>Console!H41</f>
        <v>2.25</v>
      </c>
      <c r="L25" s="26">
        <f>Console!I41</f>
        <v>2.5</v>
      </c>
      <c r="M25" s="26">
        <f>Console!J41</f>
        <v>5</v>
      </c>
      <c r="N25" s="1"/>
      <c r="O25" s="1"/>
      <c r="P25" s="1"/>
      <c r="Q25" s="1"/>
      <c r="R25" s="1"/>
      <c r="S25" s="1"/>
      <c r="T25" s="1"/>
      <c r="U25" s="1"/>
      <c r="V25" s="1"/>
      <c r="W25" s="1"/>
      <c r="X25" s="1"/>
      <c r="Y25" s="1"/>
      <c r="Z25" s="1"/>
    </row>
    <row r="26" spans="1:26" ht="14.25" customHeight="1">
      <c r="A26" s="4"/>
      <c r="B26" s="4"/>
      <c r="C26" s="1"/>
      <c r="D26" s="1"/>
      <c r="E26" s="16"/>
      <c r="F26" s="16"/>
      <c r="G26" s="16"/>
      <c r="H26" s="80"/>
      <c r="I26" s="1"/>
      <c r="J26" s="29" t="str">
        <f>Console!G42</f>
        <v>Impact Metrics</v>
      </c>
      <c r="K26" s="26">
        <f>Console!H42</f>
        <v>2</v>
      </c>
      <c r="L26" s="26">
        <f>Console!I42</f>
        <v>1</v>
      </c>
      <c r="M26" s="26">
        <f>Console!J42</f>
        <v>2</v>
      </c>
      <c r="N26" s="1"/>
      <c r="O26" s="1"/>
      <c r="P26" s="1"/>
      <c r="Q26" s="1"/>
      <c r="R26" s="1"/>
      <c r="S26" s="1"/>
      <c r="T26" s="1"/>
      <c r="U26" s="1"/>
      <c r="V26" s="1"/>
      <c r="W26" s="1"/>
      <c r="X26" s="1"/>
      <c r="Y26" s="1"/>
      <c r="Z26" s="1"/>
    </row>
    <row r="27" spans="1:26" ht="14.25" customHeight="1">
      <c r="A27" s="1"/>
      <c r="B27" s="1"/>
      <c r="C27" s="1"/>
      <c r="D27" s="1"/>
      <c r="E27" s="1"/>
      <c r="F27" s="1"/>
      <c r="G27" s="1"/>
      <c r="H27" s="80"/>
      <c r="I27" s="1"/>
      <c r="J27" s="29" t="str">
        <f>Console!G43</f>
        <v>Technology</v>
      </c>
      <c r="K27" s="26">
        <f>Console!H43</f>
        <v>3</v>
      </c>
      <c r="L27" s="26">
        <f>Console!I43</f>
        <v>2</v>
      </c>
      <c r="M27" s="26">
        <f>Console!J43</f>
        <v>6</v>
      </c>
      <c r="N27" s="1"/>
      <c r="O27" s="1"/>
      <c r="P27" s="1"/>
      <c r="Q27" s="1"/>
      <c r="R27" s="1"/>
      <c r="S27" s="1"/>
      <c r="T27" s="1"/>
      <c r="U27" s="1"/>
      <c r="V27" s="1"/>
      <c r="W27" s="1"/>
      <c r="X27" s="1"/>
      <c r="Y27" s="1"/>
      <c r="Z27" s="1"/>
    </row>
    <row r="28" spans="1:26" ht="14.25" customHeight="1">
      <c r="A28" s="1"/>
      <c r="B28" s="1"/>
      <c r="C28" s="1"/>
      <c r="D28" s="1"/>
      <c r="E28" s="1"/>
      <c r="F28" s="1"/>
      <c r="G28" s="1"/>
      <c r="H28" s="80"/>
      <c r="I28" s="1"/>
      <c r="J28" s="29" t="str">
        <f>Console!G44</f>
        <v>Data and Analytics</v>
      </c>
      <c r="K28" s="26">
        <f>Console!H44</f>
        <v>1</v>
      </c>
      <c r="L28" s="26">
        <f>Console!I44</f>
        <v>4</v>
      </c>
      <c r="M28" s="26">
        <f>Console!J44</f>
        <v>4</v>
      </c>
      <c r="N28" s="1"/>
      <c r="O28" s="1"/>
      <c r="P28" s="1"/>
      <c r="Q28" s="1"/>
      <c r="R28" s="1"/>
      <c r="S28" s="1"/>
      <c r="T28" s="1"/>
      <c r="U28" s="1"/>
      <c r="V28" s="1"/>
      <c r="W28" s="1"/>
      <c r="X28" s="1"/>
      <c r="Y28" s="1"/>
      <c r="Z28" s="1"/>
    </row>
    <row r="29" spans="1:26" ht="14.25" customHeight="1">
      <c r="A29" s="1"/>
      <c r="B29" s="1"/>
      <c r="C29" s="1"/>
      <c r="D29" s="1"/>
      <c r="E29" s="1"/>
      <c r="F29" s="1"/>
      <c r="G29" s="1"/>
      <c r="H29" s="81"/>
      <c r="I29" s="1"/>
      <c r="J29" s="29" t="str">
        <f>Console!G45</f>
        <v>Design</v>
      </c>
      <c r="K29" s="26">
        <f>Console!H45</f>
        <v>3</v>
      </c>
      <c r="L29" s="26">
        <f>Console!I45</f>
        <v>3</v>
      </c>
      <c r="M29" s="26">
        <f>Console!J45</f>
        <v>9</v>
      </c>
      <c r="N29" s="1"/>
      <c r="O29" s="1"/>
      <c r="P29" s="1"/>
      <c r="Q29" s="1"/>
      <c r="R29" s="1"/>
      <c r="S29" s="1"/>
      <c r="T29" s="1"/>
      <c r="U29" s="1"/>
      <c r="V29" s="1"/>
      <c r="W29" s="1"/>
      <c r="X29" s="1"/>
      <c r="Y29" s="1"/>
      <c r="Z29" s="1"/>
    </row>
    <row r="30" spans="1:26" ht="14.2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4.2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4.2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4.25" customHeight="1">
      <c r="A33" s="4"/>
      <c r="B33" s="1"/>
      <c r="C33" s="1"/>
      <c r="D33" s="60"/>
      <c r="E33" s="60"/>
      <c r="F33" s="60"/>
      <c r="G33" s="1"/>
      <c r="H33" s="1"/>
      <c r="I33" s="1"/>
      <c r="J33" s="1"/>
      <c r="K33" s="1"/>
      <c r="L33" s="1"/>
      <c r="M33" s="1"/>
      <c r="N33" s="1"/>
      <c r="O33" s="1"/>
      <c r="P33" s="1"/>
      <c r="Q33" s="1"/>
      <c r="R33" s="1"/>
      <c r="S33" s="1"/>
      <c r="T33" s="1"/>
      <c r="U33" s="1"/>
      <c r="V33" s="1"/>
      <c r="W33" s="1"/>
      <c r="X33" s="1"/>
      <c r="Y33" s="1"/>
      <c r="Z33" s="1"/>
    </row>
    <row r="34" spans="1:26" ht="14.2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4.2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4.2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4.2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4.25" customHeight="1">
      <c r="A38" s="4"/>
      <c r="B38" s="1"/>
      <c r="C38" s="1"/>
      <c r="D38" s="60"/>
      <c r="E38" s="60"/>
      <c r="F38" s="60"/>
      <c r="G38" s="1"/>
      <c r="H38" s="1"/>
      <c r="I38" s="1"/>
      <c r="J38" s="1"/>
      <c r="K38" s="1"/>
      <c r="L38" s="1"/>
      <c r="M38" s="1"/>
      <c r="N38" s="1"/>
      <c r="O38" s="1"/>
      <c r="P38" s="1"/>
      <c r="Q38" s="1"/>
      <c r="R38" s="1"/>
      <c r="S38" s="1"/>
      <c r="T38" s="1"/>
      <c r="U38" s="1"/>
      <c r="V38" s="1"/>
      <c r="W38" s="1"/>
      <c r="X38" s="1"/>
      <c r="Y38" s="1"/>
      <c r="Z38" s="1"/>
    </row>
    <row r="39" spans="1:26" ht="14.2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4.2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4.2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4.2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4.2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4.2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4.2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4.2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4.2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4.2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4.2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4.25" customHeight="1">
      <c r="A50" s="4"/>
      <c r="B50" s="1"/>
      <c r="C50" s="1"/>
      <c r="D50" s="1"/>
      <c r="E50" s="1"/>
      <c r="F50" s="1"/>
      <c r="G50" s="1"/>
      <c r="H50" s="1"/>
      <c r="I50" s="1"/>
      <c r="J50" s="1"/>
      <c r="K50" s="1"/>
      <c r="L50" s="1"/>
      <c r="M50" s="1"/>
      <c r="N50" s="1"/>
      <c r="O50" s="1"/>
      <c r="P50" s="1"/>
      <c r="Q50" s="1"/>
      <c r="R50" s="1"/>
      <c r="S50" s="1"/>
      <c r="T50" s="1"/>
      <c r="U50" s="1"/>
      <c r="V50" s="1"/>
      <c r="W50" s="1"/>
      <c r="X50" s="1"/>
      <c r="Y50" s="1"/>
      <c r="Z50" s="1"/>
    </row>
    <row r="51" spans="1:26" ht="14.25" customHeight="1">
      <c r="A51" s="4"/>
      <c r="B51" s="1"/>
      <c r="C51" s="1"/>
      <c r="D51" s="1"/>
      <c r="E51" s="1"/>
      <c r="F51" s="1"/>
      <c r="G51" s="1"/>
      <c r="H51" s="1"/>
      <c r="I51" s="1"/>
      <c r="J51" s="1"/>
      <c r="K51" s="1"/>
      <c r="L51" s="1"/>
      <c r="M51" s="1"/>
      <c r="N51" s="1"/>
      <c r="O51" s="1"/>
      <c r="P51" s="1"/>
      <c r="Q51" s="1"/>
      <c r="R51" s="1"/>
      <c r="S51" s="1"/>
      <c r="T51" s="1"/>
      <c r="U51" s="1"/>
      <c r="V51" s="1"/>
      <c r="W51" s="1"/>
      <c r="X51" s="1"/>
      <c r="Y51" s="1"/>
      <c r="Z51" s="1"/>
    </row>
    <row r="52" spans="1:26" ht="14.25" customHeight="1">
      <c r="A52" s="4"/>
      <c r="B52" s="1"/>
      <c r="C52" s="1"/>
      <c r="D52" s="1"/>
      <c r="E52" s="1"/>
      <c r="F52" s="1"/>
      <c r="G52" s="1"/>
      <c r="H52" s="1"/>
      <c r="I52" s="1"/>
      <c r="J52" s="1"/>
      <c r="K52" s="1"/>
      <c r="L52" s="1"/>
      <c r="M52" s="1"/>
      <c r="N52" s="1"/>
      <c r="O52" s="1"/>
      <c r="P52" s="1"/>
      <c r="Q52" s="1"/>
      <c r="R52" s="1"/>
      <c r="S52" s="1"/>
      <c r="T52" s="1"/>
      <c r="U52" s="1"/>
      <c r="V52" s="1"/>
      <c r="W52" s="1"/>
      <c r="X52" s="1"/>
      <c r="Y52" s="1"/>
      <c r="Z52" s="1"/>
    </row>
    <row r="53" spans="1:26" ht="14.25" customHeight="1">
      <c r="A53" s="4"/>
      <c r="B53" s="1"/>
      <c r="C53" s="1"/>
      <c r="D53" s="1"/>
      <c r="E53" s="1"/>
      <c r="F53" s="1"/>
      <c r="G53" s="1"/>
      <c r="H53" s="1"/>
      <c r="I53" s="1"/>
      <c r="J53" s="1"/>
      <c r="K53" s="1"/>
      <c r="L53" s="1"/>
      <c r="M53" s="1"/>
      <c r="N53" s="1"/>
      <c r="O53" s="1"/>
      <c r="P53" s="1"/>
      <c r="Q53" s="1"/>
      <c r="R53" s="1"/>
      <c r="S53" s="1"/>
      <c r="T53" s="1"/>
      <c r="U53" s="1"/>
      <c r="V53" s="1"/>
      <c r="W53" s="1"/>
      <c r="X53" s="1"/>
      <c r="Y53" s="1"/>
      <c r="Z53" s="1"/>
    </row>
    <row r="54" spans="1:26" ht="14.25" customHeight="1">
      <c r="A54" s="4"/>
      <c r="B54" s="1"/>
      <c r="C54" s="1"/>
      <c r="D54" s="1"/>
      <c r="E54" s="1"/>
      <c r="F54" s="1"/>
      <c r="G54" s="1"/>
      <c r="H54" s="1"/>
      <c r="I54" s="1"/>
      <c r="J54" s="1"/>
      <c r="K54" s="1"/>
      <c r="L54" s="1"/>
      <c r="M54" s="1"/>
      <c r="N54" s="1"/>
      <c r="O54" s="1"/>
      <c r="P54" s="1"/>
      <c r="Q54" s="1"/>
      <c r="R54" s="1"/>
      <c r="S54" s="1"/>
      <c r="T54" s="1"/>
      <c r="U54" s="1"/>
      <c r="V54" s="1"/>
      <c r="W54" s="1"/>
      <c r="X54" s="1"/>
      <c r="Y54" s="1"/>
      <c r="Z54" s="1"/>
    </row>
    <row r="55" spans="1:26" ht="14.25" customHeight="1">
      <c r="A55" s="4"/>
      <c r="B55" s="1"/>
      <c r="C55" s="1"/>
      <c r="D55" s="1"/>
      <c r="E55" s="1"/>
      <c r="F55" s="1"/>
      <c r="G55" s="1"/>
      <c r="H55" s="1"/>
      <c r="I55" s="1"/>
      <c r="J55" s="1"/>
      <c r="K55" s="1"/>
      <c r="L55" s="1"/>
      <c r="M55" s="1"/>
      <c r="N55" s="1"/>
      <c r="O55" s="1"/>
      <c r="P55" s="1"/>
      <c r="Q55" s="1"/>
      <c r="R55" s="1"/>
      <c r="S55" s="1"/>
      <c r="T55" s="1"/>
      <c r="U55" s="1"/>
      <c r="V55" s="1"/>
      <c r="W55" s="1"/>
      <c r="X55" s="1"/>
      <c r="Y55" s="1"/>
      <c r="Z55" s="1"/>
    </row>
    <row r="56" spans="1:26" ht="14.25" customHeight="1">
      <c r="A56" s="4"/>
      <c r="B56" s="1"/>
      <c r="C56" s="1"/>
      <c r="D56" s="1"/>
      <c r="E56" s="1"/>
      <c r="F56" s="1"/>
      <c r="G56" s="1"/>
      <c r="H56" s="1"/>
      <c r="I56" s="1"/>
      <c r="J56" s="1"/>
      <c r="K56" s="1"/>
      <c r="L56" s="1"/>
      <c r="M56" s="1"/>
      <c r="N56" s="1"/>
      <c r="O56" s="1"/>
      <c r="P56" s="1"/>
      <c r="Q56" s="1"/>
      <c r="R56" s="1"/>
      <c r="S56" s="1"/>
      <c r="T56" s="1"/>
      <c r="U56" s="1"/>
      <c r="V56" s="1"/>
      <c r="W56" s="1"/>
      <c r="X56" s="1"/>
      <c r="Y56" s="1"/>
      <c r="Z56" s="1"/>
    </row>
    <row r="57" spans="1:26" ht="14.25" customHeight="1">
      <c r="A57" s="4"/>
      <c r="B57" s="1"/>
      <c r="C57" s="1"/>
      <c r="D57" s="1"/>
      <c r="E57" s="1"/>
      <c r="F57" s="1"/>
      <c r="G57" s="1"/>
      <c r="H57" s="1"/>
      <c r="I57" s="1"/>
      <c r="J57" s="1"/>
      <c r="K57" s="1"/>
      <c r="L57" s="1"/>
      <c r="M57" s="1"/>
      <c r="N57" s="1"/>
      <c r="O57" s="1"/>
      <c r="P57" s="1"/>
      <c r="Q57" s="1"/>
      <c r="R57" s="1"/>
      <c r="S57" s="1"/>
      <c r="T57" s="1"/>
      <c r="U57" s="1"/>
      <c r="V57" s="1"/>
      <c r="W57" s="1"/>
      <c r="X57" s="1"/>
      <c r="Y57" s="1"/>
      <c r="Z57" s="1"/>
    </row>
    <row r="58" spans="1:26" ht="14.25" customHeight="1">
      <c r="A58" s="4"/>
      <c r="B58" s="1"/>
      <c r="C58" s="1"/>
      <c r="D58" s="1"/>
      <c r="E58" s="1"/>
      <c r="F58" s="1"/>
      <c r="G58" s="1"/>
      <c r="H58" s="1"/>
      <c r="I58" s="1"/>
      <c r="J58" s="1"/>
      <c r="K58" s="1"/>
      <c r="L58" s="1"/>
      <c r="M58" s="1"/>
      <c r="N58" s="1"/>
      <c r="O58" s="1"/>
      <c r="P58" s="1"/>
      <c r="Q58" s="1"/>
      <c r="R58" s="1"/>
      <c r="S58" s="1"/>
      <c r="T58" s="1"/>
      <c r="U58" s="1"/>
      <c r="V58" s="1"/>
      <c r="W58" s="1"/>
      <c r="X58" s="1"/>
      <c r="Y58" s="1"/>
      <c r="Z58" s="1"/>
    </row>
    <row r="59" spans="1:26" ht="14.25" customHeight="1">
      <c r="A59" s="4"/>
      <c r="B59" s="1"/>
      <c r="C59" s="1"/>
      <c r="D59" s="1"/>
      <c r="E59" s="1"/>
      <c r="F59" s="1"/>
      <c r="G59" s="1"/>
      <c r="H59" s="1"/>
      <c r="I59" s="1"/>
      <c r="J59" s="1"/>
      <c r="K59" s="1"/>
      <c r="L59" s="1"/>
      <c r="M59" s="1"/>
      <c r="N59" s="1"/>
      <c r="O59" s="1"/>
      <c r="P59" s="1"/>
      <c r="Q59" s="1"/>
      <c r="R59" s="1"/>
      <c r="S59" s="1"/>
      <c r="T59" s="1"/>
      <c r="U59" s="1"/>
      <c r="V59" s="1"/>
      <c r="W59" s="1"/>
      <c r="X59" s="1"/>
      <c r="Y59" s="1"/>
      <c r="Z59" s="1"/>
    </row>
    <row r="60" spans="1:26" ht="14.25" customHeight="1">
      <c r="A60" s="4"/>
      <c r="B60" s="1"/>
      <c r="C60" s="1"/>
      <c r="D60" s="1"/>
      <c r="E60" s="1"/>
      <c r="F60" s="1"/>
      <c r="G60" s="1"/>
      <c r="H60" s="1"/>
      <c r="I60" s="1"/>
      <c r="J60" s="1"/>
      <c r="K60" s="1"/>
      <c r="L60" s="1"/>
      <c r="M60" s="1"/>
      <c r="N60" s="1"/>
      <c r="O60" s="1"/>
      <c r="P60" s="1"/>
      <c r="Q60" s="1"/>
      <c r="R60" s="1"/>
      <c r="S60" s="1"/>
      <c r="T60" s="1"/>
      <c r="U60" s="1"/>
      <c r="V60" s="1"/>
      <c r="W60" s="1"/>
      <c r="X60" s="1"/>
      <c r="Y60" s="1"/>
      <c r="Z60" s="1"/>
    </row>
    <row r="61" spans="1:26" ht="14.25" customHeight="1">
      <c r="A61" s="4"/>
      <c r="B61" s="1"/>
      <c r="C61" s="1"/>
      <c r="D61" s="1"/>
      <c r="E61" s="1"/>
      <c r="F61" s="1"/>
      <c r="G61" s="1"/>
      <c r="H61" s="1"/>
      <c r="I61" s="1"/>
      <c r="J61" s="1"/>
      <c r="K61" s="1"/>
      <c r="L61" s="1"/>
      <c r="M61" s="1"/>
      <c r="N61" s="1"/>
      <c r="O61" s="1"/>
      <c r="P61" s="1"/>
      <c r="Q61" s="1"/>
      <c r="R61" s="1"/>
      <c r="S61" s="1"/>
      <c r="T61" s="1"/>
      <c r="U61" s="1"/>
      <c r="V61" s="1"/>
      <c r="W61" s="1"/>
      <c r="X61" s="1"/>
      <c r="Y61" s="1"/>
      <c r="Z61" s="1"/>
    </row>
    <row r="62" spans="1:26" ht="14.25" customHeight="1">
      <c r="A62" s="4"/>
      <c r="B62" s="1"/>
      <c r="C62" s="1"/>
      <c r="D62" s="1"/>
      <c r="E62" s="1"/>
      <c r="F62" s="1"/>
      <c r="G62" s="1"/>
      <c r="H62" s="1"/>
      <c r="I62" s="1"/>
      <c r="J62" s="1"/>
      <c r="K62" s="1"/>
      <c r="L62" s="1"/>
      <c r="M62" s="1"/>
      <c r="N62" s="1"/>
      <c r="O62" s="1"/>
      <c r="P62" s="1"/>
      <c r="Q62" s="1"/>
      <c r="R62" s="1"/>
      <c r="S62" s="1"/>
      <c r="T62" s="1"/>
      <c r="U62" s="1"/>
      <c r="V62" s="1"/>
      <c r="W62" s="1"/>
      <c r="X62" s="1"/>
      <c r="Y62" s="1"/>
      <c r="Z62" s="1"/>
    </row>
    <row r="63" spans="1:26" ht="14.25" customHeight="1">
      <c r="A63" s="4"/>
      <c r="B63" s="1"/>
      <c r="C63" s="1"/>
      <c r="D63" s="1"/>
      <c r="E63" s="1"/>
      <c r="F63" s="1"/>
      <c r="G63" s="1"/>
      <c r="H63" s="1"/>
      <c r="I63" s="1"/>
      <c r="J63" s="1"/>
      <c r="K63" s="1"/>
      <c r="L63" s="1"/>
      <c r="M63" s="1"/>
      <c r="N63" s="1"/>
      <c r="O63" s="1"/>
      <c r="P63" s="1"/>
      <c r="Q63" s="1"/>
      <c r="R63" s="1"/>
      <c r="S63" s="1"/>
      <c r="T63" s="1"/>
      <c r="U63" s="1"/>
      <c r="V63" s="1"/>
      <c r="W63" s="1"/>
      <c r="X63" s="1"/>
      <c r="Y63" s="1"/>
      <c r="Z63" s="1"/>
    </row>
    <row r="64" spans="1:26" ht="14.25" customHeight="1">
      <c r="A64" s="4"/>
      <c r="B64" s="1"/>
      <c r="C64" s="1"/>
      <c r="D64" s="1"/>
      <c r="E64" s="1"/>
      <c r="F64" s="1"/>
      <c r="G64" s="1"/>
      <c r="H64" s="1"/>
      <c r="I64" s="1"/>
      <c r="J64" s="1"/>
      <c r="K64" s="1"/>
      <c r="L64" s="1"/>
      <c r="M64" s="1"/>
      <c r="N64" s="1"/>
      <c r="O64" s="1"/>
      <c r="P64" s="1"/>
      <c r="Q64" s="1"/>
      <c r="R64" s="1"/>
      <c r="S64" s="1"/>
      <c r="T64" s="1"/>
      <c r="U64" s="1"/>
      <c r="V64" s="1"/>
      <c r="W64" s="1"/>
      <c r="X64" s="1"/>
      <c r="Y64" s="1"/>
      <c r="Z64" s="1"/>
    </row>
    <row r="65" spans="1:26" ht="14.25" customHeight="1">
      <c r="A65" s="4"/>
      <c r="B65" s="1"/>
      <c r="C65" s="1"/>
      <c r="D65" s="1"/>
      <c r="E65" s="1"/>
      <c r="F65" s="1"/>
      <c r="G65" s="1"/>
      <c r="H65" s="1"/>
      <c r="I65" s="1"/>
      <c r="J65" s="1"/>
      <c r="K65" s="1"/>
      <c r="L65" s="1"/>
      <c r="M65" s="1"/>
      <c r="N65" s="1"/>
      <c r="O65" s="1"/>
      <c r="P65" s="1"/>
      <c r="Q65" s="1"/>
      <c r="R65" s="1"/>
      <c r="S65" s="1"/>
      <c r="T65" s="1"/>
      <c r="U65" s="1"/>
      <c r="V65" s="1"/>
      <c r="W65" s="1"/>
      <c r="X65" s="1"/>
      <c r="Y65" s="1"/>
      <c r="Z65" s="1"/>
    </row>
    <row r="66" spans="1:26" ht="14.25" customHeight="1">
      <c r="A66" s="4"/>
      <c r="B66" s="1"/>
      <c r="C66" s="1"/>
      <c r="D66" s="1"/>
      <c r="E66" s="1"/>
      <c r="F66" s="1"/>
      <c r="G66" s="1"/>
      <c r="H66" s="1"/>
      <c r="I66" s="1"/>
      <c r="J66" s="1"/>
      <c r="K66" s="1"/>
      <c r="L66" s="1"/>
      <c r="M66" s="1"/>
      <c r="N66" s="1"/>
      <c r="O66" s="1"/>
      <c r="P66" s="1"/>
      <c r="Q66" s="1"/>
      <c r="R66" s="1"/>
      <c r="S66" s="1"/>
      <c r="T66" s="1"/>
      <c r="U66" s="1"/>
      <c r="V66" s="1"/>
      <c r="W66" s="1"/>
      <c r="X66" s="1"/>
      <c r="Y66" s="1"/>
      <c r="Z66" s="1"/>
    </row>
    <row r="67" spans="1:26" ht="14.25" customHeight="1">
      <c r="A67" s="4"/>
      <c r="B67" s="1"/>
      <c r="C67" s="1"/>
      <c r="D67" s="1"/>
      <c r="E67" s="1"/>
      <c r="F67" s="1"/>
      <c r="G67" s="1"/>
      <c r="H67" s="1"/>
      <c r="I67" s="1"/>
      <c r="J67" s="1"/>
      <c r="K67" s="1"/>
      <c r="L67" s="1"/>
      <c r="M67" s="1"/>
      <c r="N67" s="1"/>
      <c r="O67" s="1"/>
      <c r="P67" s="1"/>
      <c r="Q67" s="1"/>
      <c r="R67" s="1"/>
      <c r="S67" s="1"/>
      <c r="T67" s="1"/>
      <c r="U67" s="1"/>
      <c r="V67" s="1"/>
      <c r="W67" s="1"/>
      <c r="X67" s="1"/>
      <c r="Y67" s="1"/>
      <c r="Z67" s="1"/>
    </row>
    <row r="68" spans="1:26" ht="14.25" customHeight="1">
      <c r="A68" s="4"/>
      <c r="B68" s="1"/>
      <c r="C68" s="1"/>
      <c r="D68" s="1"/>
      <c r="E68" s="1"/>
      <c r="F68" s="1"/>
      <c r="G68" s="1"/>
      <c r="H68" s="1"/>
      <c r="I68" s="1"/>
      <c r="J68" s="1"/>
      <c r="K68" s="1"/>
      <c r="L68" s="1"/>
      <c r="M68" s="1"/>
      <c r="N68" s="1"/>
      <c r="O68" s="1"/>
      <c r="P68" s="1"/>
      <c r="Q68" s="1"/>
      <c r="R68" s="1"/>
      <c r="S68" s="1"/>
      <c r="T68" s="1"/>
      <c r="U68" s="1"/>
      <c r="V68" s="1"/>
      <c r="W68" s="1"/>
      <c r="X68" s="1"/>
      <c r="Y68" s="1"/>
      <c r="Z68" s="1"/>
    </row>
    <row r="69" spans="1:26" ht="14.25" customHeight="1">
      <c r="A69" s="4"/>
      <c r="B69" s="1"/>
      <c r="C69" s="1"/>
      <c r="D69" s="1"/>
      <c r="E69" s="1"/>
      <c r="F69" s="1"/>
      <c r="G69" s="1"/>
      <c r="H69" s="1"/>
      <c r="I69" s="1"/>
      <c r="J69" s="1"/>
      <c r="K69" s="1"/>
      <c r="L69" s="1"/>
      <c r="M69" s="1"/>
      <c r="N69" s="1"/>
      <c r="O69" s="1"/>
      <c r="P69" s="1"/>
      <c r="Q69" s="1"/>
      <c r="R69" s="1"/>
      <c r="S69" s="1"/>
      <c r="T69" s="1"/>
      <c r="U69" s="1"/>
      <c r="V69" s="1"/>
      <c r="W69" s="1"/>
      <c r="X69" s="1"/>
      <c r="Y69" s="1"/>
      <c r="Z69" s="1"/>
    </row>
    <row r="70" spans="1:26" ht="14.25" customHeight="1">
      <c r="A70" s="4"/>
      <c r="B70" s="1"/>
      <c r="C70" s="1"/>
      <c r="D70" s="1"/>
      <c r="E70" s="1"/>
      <c r="F70" s="1"/>
      <c r="G70" s="1"/>
      <c r="H70" s="1"/>
      <c r="I70" s="1"/>
      <c r="J70" s="1"/>
      <c r="K70" s="1"/>
      <c r="L70" s="1"/>
      <c r="M70" s="1"/>
      <c r="N70" s="1"/>
      <c r="O70" s="1"/>
      <c r="P70" s="1"/>
      <c r="Q70" s="1"/>
      <c r="R70" s="1"/>
      <c r="S70" s="1"/>
      <c r="T70" s="1"/>
      <c r="U70" s="1"/>
      <c r="V70" s="1"/>
      <c r="W70" s="1"/>
      <c r="X70" s="1"/>
      <c r="Y70" s="1"/>
      <c r="Z70" s="1"/>
    </row>
    <row r="71" spans="1:26" ht="14.25" customHeight="1">
      <c r="A71" s="4"/>
      <c r="B71" s="1"/>
      <c r="C71" s="1"/>
      <c r="D71" s="1"/>
      <c r="E71" s="1"/>
      <c r="F71" s="1"/>
      <c r="G71" s="1"/>
      <c r="H71" s="1"/>
      <c r="I71" s="1"/>
      <c r="J71" s="1"/>
      <c r="K71" s="1"/>
      <c r="L71" s="1"/>
      <c r="M71" s="1"/>
      <c r="N71" s="1"/>
      <c r="O71" s="1"/>
      <c r="P71" s="1"/>
      <c r="Q71" s="1"/>
      <c r="R71" s="1"/>
      <c r="S71" s="1"/>
      <c r="T71" s="1"/>
      <c r="U71" s="1"/>
      <c r="V71" s="1"/>
      <c r="W71" s="1"/>
      <c r="X71" s="1"/>
      <c r="Y71" s="1"/>
      <c r="Z71" s="1"/>
    </row>
    <row r="72" spans="1:26" ht="14.25" customHeight="1">
      <c r="A72" s="4"/>
      <c r="B72" s="1"/>
      <c r="C72" s="1"/>
      <c r="D72" s="1"/>
      <c r="E72" s="1"/>
      <c r="F72" s="1"/>
      <c r="G72" s="1"/>
      <c r="H72" s="1"/>
      <c r="I72" s="1"/>
      <c r="J72" s="1"/>
      <c r="K72" s="1"/>
      <c r="L72" s="1"/>
      <c r="M72" s="1"/>
      <c r="N72" s="1"/>
      <c r="O72" s="1"/>
      <c r="P72" s="1"/>
      <c r="Q72" s="1"/>
      <c r="R72" s="1"/>
      <c r="S72" s="1"/>
      <c r="T72" s="1"/>
      <c r="U72" s="1"/>
      <c r="V72" s="1"/>
      <c r="W72" s="1"/>
      <c r="X72" s="1"/>
      <c r="Y72" s="1"/>
      <c r="Z72" s="1"/>
    </row>
    <row r="73" spans="1:26" ht="14.25" customHeight="1">
      <c r="A73" s="4"/>
      <c r="B73" s="1"/>
      <c r="C73" s="1"/>
      <c r="D73" s="1"/>
      <c r="E73" s="1"/>
      <c r="F73" s="1"/>
      <c r="G73" s="1"/>
      <c r="H73" s="1"/>
      <c r="I73" s="1"/>
      <c r="J73" s="1"/>
      <c r="K73" s="1"/>
      <c r="L73" s="1"/>
      <c r="M73" s="1"/>
      <c r="N73" s="1"/>
      <c r="O73" s="1"/>
      <c r="P73" s="1"/>
      <c r="Q73" s="1"/>
      <c r="R73" s="1"/>
      <c r="S73" s="1"/>
      <c r="T73" s="1"/>
      <c r="U73" s="1"/>
      <c r="V73" s="1"/>
      <c r="W73" s="1"/>
      <c r="X73" s="1"/>
      <c r="Y73" s="1"/>
      <c r="Z73" s="1"/>
    </row>
    <row r="74" spans="1:26" ht="14.25" customHeight="1">
      <c r="A74" s="4"/>
      <c r="B74" s="1"/>
      <c r="C74" s="1"/>
      <c r="D74" s="1"/>
      <c r="E74" s="1"/>
      <c r="F74" s="1"/>
      <c r="G74" s="1"/>
      <c r="H74" s="1"/>
      <c r="I74" s="1"/>
      <c r="J74" s="1"/>
      <c r="K74" s="1"/>
      <c r="L74" s="1"/>
      <c r="M74" s="1"/>
      <c r="N74" s="1"/>
      <c r="O74" s="1"/>
      <c r="P74" s="1"/>
      <c r="Q74" s="1"/>
      <c r="R74" s="1"/>
      <c r="S74" s="1"/>
      <c r="T74" s="1"/>
      <c r="U74" s="1"/>
      <c r="V74" s="1"/>
      <c r="W74" s="1"/>
      <c r="X74" s="1"/>
      <c r="Y74" s="1"/>
      <c r="Z74" s="1"/>
    </row>
    <row r="75" spans="1:26" ht="14.25" customHeight="1">
      <c r="A75" s="4"/>
      <c r="B75" s="1"/>
      <c r="C75" s="1"/>
      <c r="D75" s="1"/>
      <c r="E75" s="1"/>
      <c r="F75" s="1"/>
      <c r="G75" s="1"/>
      <c r="H75" s="1"/>
      <c r="I75" s="1"/>
      <c r="J75" s="1"/>
      <c r="K75" s="1"/>
      <c r="L75" s="1"/>
      <c r="M75" s="1"/>
      <c r="N75" s="1"/>
      <c r="O75" s="1"/>
      <c r="P75" s="1"/>
      <c r="Q75" s="1"/>
      <c r="R75" s="1"/>
      <c r="S75" s="1"/>
      <c r="T75" s="1"/>
      <c r="U75" s="1"/>
      <c r="V75" s="1"/>
      <c r="W75" s="1"/>
      <c r="X75" s="1"/>
      <c r="Y75" s="1"/>
      <c r="Z75" s="1"/>
    </row>
    <row r="76" spans="1:26" ht="14.25" customHeight="1">
      <c r="A76" s="4"/>
      <c r="B76" s="1"/>
      <c r="C76" s="1"/>
      <c r="D76" s="1"/>
      <c r="E76" s="1"/>
      <c r="F76" s="1"/>
      <c r="G76" s="1"/>
      <c r="H76" s="1"/>
      <c r="I76" s="1"/>
      <c r="J76" s="1"/>
      <c r="K76" s="1"/>
      <c r="L76" s="1"/>
      <c r="M76" s="1"/>
      <c r="N76" s="1"/>
      <c r="O76" s="1"/>
      <c r="P76" s="1"/>
      <c r="Q76" s="1"/>
      <c r="R76" s="1"/>
      <c r="S76" s="1"/>
      <c r="T76" s="1"/>
      <c r="U76" s="1"/>
      <c r="V76" s="1"/>
      <c r="W76" s="1"/>
      <c r="X76" s="1"/>
      <c r="Y76" s="1"/>
      <c r="Z76" s="1"/>
    </row>
    <row r="77" spans="1:26" ht="14.25" customHeight="1">
      <c r="A77" s="4"/>
      <c r="B77" s="1"/>
      <c r="C77" s="1"/>
      <c r="D77" s="1"/>
      <c r="E77" s="1"/>
      <c r="F77" s="1"/>
      <c r="G77" s="1"/>
      <c r="H77" s="1"/>
      <c r="I77" s="1"/>
      <c r="J77" s="1"/>
      <c r="K77" s="1"/>
      <c r="L77" s="1"/>
      <c r="M77" s="1"/>
      <c r="N77" s="1"/>
      <c r="O77" s="1"/>
      <c r="P77" s="1"/>
      <c r="Q77" s="1"/>
      <c r="R77" s="1"/>
      <c r="S77" s="1"/>
      <c r="T77" s="1"/>
      <c r="U77" s="1"/>
      <c r="V77" s="1"/>
      <c r="W77" s="1"/>
      <c r="X77" s="1"/>
      <c r="Y77" s="1"/>
      <c r="Z77" s="1"/>
    </row>
    <row r="78" spans="1:26" ht="14.25" customHeight="1">
      <c r="A78" s="4"/>
      <c r="B78" s="1"/>
      <c r="C78" s="1"/>
      <c r="D78" s="1"/>
      <c r="E78" s="1"/>
      <c r="F78" s="1"/>
      <c r="G78" s="1"/>
      <c r="H78" s="1"/>
      <c r="I78" s="1"/>
      <c r="J78" s="1"/>
      <c r="K78" s="1"/>
      <c r="L78" s="1"/>
      <c r="M78" s="1"/>
      <c r="N78" s="1"/>
      <c r="O78" s="1"/>
      <c r="P78" s="1"/>
      <c r="Q78" s="1"/>
      <c r="R78" s="1"/>
      <c r="S78" s="1"/>
      <c r="T78" s="1"/>
      <c r="U78" s="1"/>
      <c r="V78" s="1"/>
      <c r="W78" s="1"/>
      <c r="X78" s="1"/>
      <c r="Y78" s="1"/>
      <c r="Z78" s="1"/>
    </row>
    <row r="79" spans="1:26" ht="14.25" customHeight="1">
      <c r="A79" s="4"/>
      <c r="B79" s="1"/>
      <c r="C79" s="1"/>
      <c r="D79" s="1"/>
      <c r="E79" s="1"/>
      <c r="F79" s="1"/>
      <c r="G79" s="1"/>
      <c r="H79" s="1"/>
      <c r="I79" s="1"/>
      <c r="J79" s="1"/>
      <c r="K79" s="1"/>
      <c r="L79" s="1"/>
      <c r="M79" s="1"/>
      <c r="N79" s="1"/>
      <c r="O79" s="1"/>
      <c r="P79" s="1"/>
      <c r="Q79" s="1"/>
      <c r="R79" s="1"/>
      <c r="S79" s="1"/>
      <c r="T79" s="1"/>
      <c r="U79" s="1"/>
      <c r="V79" s="1"/>
      <c r="W79" s="1"/>
      <c r="X79" s="1"/>
      <c r="Y79" s="1"/>
      <c r="Z79" s="1"/>
    </row>
    <row r="80" spans="1:26" ht="14.25" customHeight="1">
      <c r="A80" s="4"/>
      <c r="B80" s="1"/>
      <c r="C80" s="1"/>
      <c r="D80" s="1"/>
      <c r="E80" s="1"/>
      <c r="F80" s="1"/>
      <c r="G80" s="1"/>
      <c r="H80" s="1"/>
      <c r="I80" s="1"/>
      <c r="J80" s="1"/>
      <c r="K80" s="1"/>
      <c r="L80" s="1"/>
      <c r="M80" s="1"/>
      <c r="N80" s="1"/>
      <c r="O80" s="1"/>
      <c r="P80" s="1"/>
      <c r="Q80" s="1"/>
      <c r="R80" s="1"/>
      <c r="S80" s="1"/>
      <c r="T80" s="1"/>
      <c r="U80" s="1"/>
      <c r="V80" s="1"/>
      <c r="W80" s="1"/>
      <c r="X80" s="1"/>
      <c r="Y80" s="1"/>
      <c r="Z80" s="1"/>
    </row>
    <row r="81" spans="1:26" ht="14.25" customHeight="1">
      <c r="A81" s="4"/>
      <c r="B81" s="1"/>
      <c r="C81" s="1"/>
      <c r="D81" s="1"/>
      <c r="E81" s="1"/>
      <c r="F81" s="1"/>
      <c r="G81" s="1"/>
      <c r="H81" s="1"/>
      <c r="I81" s="1"/>
      <c r="J81" s="1"/>
      <c r="K81" s="1"/>
      <c r="L81" s="1"/>
      <c r="M81" s="1"/>
      <c r="N81" s="1"/>
      <c r="O81" s="1"/>
      <c r="P81" s="1"/>
      <c r="Q81" s="1"/>
      <c r="R81" s="1"/>
      <c r="S81" s="1"/>
      <c r="T81" s="1"/>
      <c r="U81" s="1"/>
      <c r="V81" s="1"/>
      <c r="W81" s="1"/>
      <c r="X81" s="1"/>
      <c r="Y81" s="1"/>
      <c r="Z81" s="1"/>
    </row>
    <row r="82" spans="1:26" ht="14.25" customHeight="1">
      <c r="A82" s="4"/>
      <c r="B82" s="1"/>
      <c r="C82" s="1"/>
      <c r="D82" s="1"/>
      <c r="E82" s="1"/>
      <c r="F82" s="1"/>
      <c r="G82" s="1"/>
      <c r="H82" s="1"/>
      <c r="I82" s="1"/>
      <c r="J82" s="1"/>
      <c r="K82" s="1"/>
      <c r="L82" s="1"/>
      <c r="M82" s="1"/>
      <c r="N82" s="1"/>
      <c r="O82" s="1"/>
      <c r="P82" s="1"/>
      <c r="Q82" s="1"/>
      <c r="R82" s="1"/>
      <c r="S82" s="1"/>
      <c r="T82" s="1"/>
      <c r="U82" s="1"/>
      <c r="V82" s="1"/>
      <c r="W82" s="1"/>
      <c r="X82" s="1"/>
      <c r="Y82" s="1"/>
      <c r="Z82" s="1"/>
    </row>
    <row r="83" spans="1:26" ht="14.25" customHeight="1">
      <c r="A83" s="4"/>
      <c r="B83" s="1"/>
      <c r="C83" s="1"/>
      <c r="D83" s="1"/>
      <c r="E83" s="1"/>
      <c r="F83" s="1"/>
      <c r="G83" s="1"/>
      <c r="H83" s="1"/>
      <c r="I83" s="1"/>
      <c r="J83" s="1"/>
      <c r="K83" s="1"/>
      <c r="L83" s="1"/>
      <c r="M83" s="1"/>
      <c r="N83" s="1"/>
      <c r="O83" s="1"/>
      <c r="P83" s="1"/>
      <c r="Q83" s="1"/>
      <c r="R83" s="1"/>
      <c r="S83" s="1"/>
      <c r="T83" s="1"/>
      <c r="U83" s="1"/>
      <c r="V83" s="1"/>
      <c r="W83" s="1"/>
      <c r="X83" s="1"/>
      <c r="Y83" s="1"/>
      <c r="Z83" s="1"/>
    </row>
    <row r="84" spans="1:26" ht="14.25" customHeight="1">
      <c r="A84" s="4"/>
      <c r="B84" s="1"/>
      <c r="C84" s="1"/>
      <c r="D84" s="1"/>
      <c r="E84" s="1"/>
      <c r="F84" s="1"/>
      <c r="G84" s="1"/>
      <c r="H84" s="1"/>
      <c r="I84" s="1"/>
      <c r="J84" s="1"/>
      <c r="K84" s="1"/>
      <c r="L84" s="1"/>
      <c r="M84" s="1"/>
      <c r="N84" s="1"/>
      <c r="O84" s="1"/>
      <c r="P84" s="1"/>
      <c r="Q84" s="1"/>
      <c r="R84" s="1"/>
      <c r="S84" s="1"/>
      <c r="T84" s="1"/>
      <c r="U84" s="1"/>
      <c r="V84" s="1"/>
      <c r="W84" s="1"/>
      <c r="X84" s="1"/>
      <c r="Y84" s="1"/>
      <c r="Z84" s="1"/>
    </row>
    <row r="85" spans="1:26" ht="14.25" customHeight="1">
      <c r="A85" s="4"/>
      <c r="B85" s="1"/>
      <c r="C85" s="1"/>
      <c r="D85" s="1"/>
      <c r="E85" s="1"/>
      <c r="F85" s="1"/>
      <c r="G85" s="1"/>
      <c r="H85" s="1"/>
      <c r="I85" s="1"/>
      <c r="J85" s="1"/>
      <c r="K85" s="1"/>
      <c r="L85" s="1"/>
      <c r="M85" s="1"/>
      <c r="N85" s="1"/>
      <c r="O85" s="1"/>
      <c r="P85" s="1"/>
      <c r="Q85" s="1"/>
      <c r="R85" s="1"/>
      <c r="S85" s="1"/>
      <c r="T85" s="1"/>
      <c r="U85" s="1"/>
      <c r="V85" s="1"/>
      <c r="W85" s="1"/>
      <c r="X85" s="1"/>
      <c r="Y85" s="1"/>
      <c r="Z85" s="1"/>
    </row>
    <row r="86" spans="1:26" ht="14.25" customHeight="1">
      <c r="A86" s="4"/>
      <c r="B86" s="1"/>
      <c r="C86" s="1"/>
      <c r="D86" s="1"/>
      <c r="E86" s="1"/>
      <c r="F86" s="1"/>
      <c r="G86" s="1"/>
      <c r="H86" s="1"/>
      <c r="I86" s="1"/>
      <c r="J86" s="1"/>
      <c r="K86" s="1"/>
      <c r="L86" s="1"/>
      <c r="M86" s="1"/>
      <c r="N86" s="1"/>
      <c r="O86" s="1"/>
      <c r="P86" s="1"/>
      <c r="Q86" s="1"/>
      <c r="R86" s="1"/>
      <c r="S86" s="1"/>
      <c r="T86" s="1"/>
      <c r="U86" s="1"/>
      <c r="V86" s="1"/>
      <c r="W86" s="1"/>
      <c r="X86" s="1"/>
      <c r="Y86" s="1"/>
      <c r="Z86" s="1"/>
    </row>
    <row r="87" spans="1:26" ht="14.25" customHeight="1">
      <c r="A87" s="4"/>
      <c r="B87" s="1"/>
      <c r="C87" s="1"/>
      <c r="D87" s="1"/>
      <c r="E87" s="1"/>
      <c r="F87" s="1"/>
      <c r="G87" s="1"/>
      <c r="H87" s="1"/>
      <c r="I87" s="1"/>
      <c r="J87" s="1"/>
      <c r="K87" s="1"/>
      <c r="L87" s="1"/>
      <c r="M87" s="1"/>
      <c r="N87" s="1"/>
      <c r="O87" s="1"/>
      <c r="P87" s="1"/>
      <c r="Q87" s="1"/>
      <c r="R87" s="1"/>
      <c r="S87" s="1"/>
      <c r="T87" s="1"/>
      <c r="U87" s="1"/>
      <c r="V87" s="1"/>
      <c r="W87" s="1"/>
      <c r="X87" s="1"/>
      <c r="Y87" s="1"/>
      <c r="Z87" s="1"/>
    </row>
    <row r="88" spans="1:26" ht="14.25" customHeight="1">
      <c r="A88" s="4"/>
      <c r="B88" s="1"/>
      <c r="C88" s="1"/>
      <c r="D88" s="1"/>
      <c r="E88" s="1"/>
      <c r="F88" s="1"/>
      <c r="G88" s="1"/>
      <c r="H88" s="1"/>
      <c r="I88" s="1"/>
      <c r="J88" s="1"/>
      <c r="K88" s="1"/>
      <c r="L88" s="1"/>
      <c r="M88" s="1"/>
      <c r="N88" s="1"/>
      <c r="O88" s="1"/>
      <c r="P88" s="1"/>
      <c r="Q88" s="1"/>
      <c r="R88" s="1"/>
      <c r="S88" s="1"/>
      <c r="T88" s="1"/>
      <c r="U88" s="1"/>
      <c r="V88" s="1"/>
      <c r="W88" s="1"/>
      <c r="X88" s="1"/>
      <c r="Y88" s="1"/>
      <c r="Z88" s="1"/>
    </row>
    <row r="89" spans="1:26" ht="14.25" customHeight="1">
      <c r="A89" s="4"/>
      <c r="B89" s="1"/>
      <c r="C89" s="1"/>
      <c r="D89" s="1"/>
      <c r="E89" s="1"/>
      <c r="F89" s="1"/>
      <c r="G89" s="1"/>
      <c r="H89" s="1"/>
      <c r="I89" s="1"/>
      <c r="J89" s="1"/>
      <c r="K89" s="1"/>
      <c r="L89" s="1"/>
      <c r="M89" s="1"/>
      <c r="N89" s="1"/>
      <c r="O89" s="1"/>
      <c r="P89" s="1"/>
      <c r="Q89" s="1"/>
      <c r="R89" s="1"/>
      <c r="S89" s="1"/>
      <c r="T89" s="1"/>
      <c r="U89" s="1"/>
      <c r="V89" s="1"/>
      <c r="W89" s="1"/>
      <c r="X89" s="1"/>
      <c r="Y89" s="1"/>
      <c r="Z89" s="1"/>
    </row>
    <row r="90" spans="1:26" ht="14.25" customHeight="1">
      <c r="A90" s="4"/>
      <c r="B90" s="1"/>
      <c r="C90" s="1"/>
      <c r="D90" s="1"/>
      <c r="E90" s="1"/>
      <c r="F90" s="1"/>
      <c r="G90" s="1"/>
      <c r="H90" s="1"/>
      <c r="I90" s="1"/>
      <c r="J90" s="1"/>
      <c r="K90" s="1"/>
      <c r="L90" s="1"/>
      <c r="M90" s="1"/>
      <c r="N90" s="1"/>
      <c r="O90" s="1"/>
      <c r="P90" s="1"/>
      <c r="Q90" s="1"/>
      <c r="R90" s="1"/>
      <c r="S90" s="1"/>
      <c r="T90" s="1"/>
      <c r="U90" s="1"/>
      <c r="V90" s="1"/>
      <c r="W90" s="1"/>
      <c r="X90" s="1"/>
      <c r="Y90" s="1"/>
      <c r="Z90" s="1"/>
    </row>
    <row r="91" spans="1:26" ht="14.25" customHeight="1">
      <c r="A91" s="4"/>
      <c r="B91" s="1"/>
      <c r="C91" s="1"/>
      <c r="D91" s="1"/>
      <c r="E91" s="1"/>
      <c r="F91" s="1"/>
      <c r="G91" s="1"/>
      <c r="H91" s="1"/>
      <c r="I91" s="1"/>
      <c r="J91" s="1"/>
      <c r="K91" s="1"/>
      <c r="L91" s="1"/>
      <c r="M91" s="1"/>
      <c r="N91" s="1"/>
      <c r="O91" s="1"/>
      <c r="P91" s="1"/>
      <c r="Q91" s="1"/>
      <c r="R91" s="1"/>
      <c r="S91" s="1"/>
      <c r="T91" s="1"/>
      <c r="U91" s="1"/>
      <c r="V91" s="1"/>
      <c r="W91" s="1"/>
      <c r="X91" s="1"/>
      <c r="Y91" s="1"/>
      <c r="Z91" s="1"/>
    </row>
    <row r="92" spans="1:26" ht="14.25" customHeight="1">
      <c r="A92" s="4"/>
      <c r="B92" s="1"/>
      <c r="C92" s="1"/>
      <c r="D92" s="1"/>
      <c r="E92" s="1"/>
      <c r="F92" s="1"/>
      <c r="G92" s="1"/>
      <c r="H92" s="1"/>
      <c r="I92" s="1"/>
      <c r="J92" s="1"/>
      <c r="K92" s="1"/>
      <c r="L92" s="1"/>
      <c r="M92" s="1"/>
      <c r="N92" s="1"/>
      <c r="O92" s="1"/>
      <c r="P92" s="1"/>
      <c r="Q92" s="1"/>
      <c r="R92" s="1"/>
      <c r="S92" s="1"/>
      <c r="T92" s="1"/>
      <c r="U92" s="1"/>
      <c r="V92" s="1"/>
      <c r="W92" s="1"/>
      <c r="X92" s="1"/>
      <c r="Y92" s="1"/>
      <c r="Z92" s="1"/>
    </row>
    <row r="93" spans="1:26" ht="14.25" customHeight="1">
      <c r="A93" s="4"/>
      <c r="B93" s="1"/>
      <c r="C93" s="1"/>
      <c r="D93" s="1"/>
      <c r="E93" s="1"/>
      <c r="F93" s="1"/>
      <c r="G93" s="1"/>
      <c r="H93" s="1"/>
      <c r="I93" s="1"/>
      <c r="J93" s="1"/>
      <c r="K93" s="1"/>
      <c r="L93" s="1"/>
      <c r="M93" s="1"/>
      <c r="N93" s="1"/>
      <c r="O93" s="1"/>
      <c r="P93" s="1"/>
      <c r="Q93" s="1"/>
      <c r="R93" s="1"/>
      <c r="S93" s="1"/>
      <c r="T93" s="1"/>
      <c r="U93" s="1"/>
      <c r="V93" s="1"/>
      <c r="W93" s="1"/>
      <c r="X93" s="1"/>
      <c r="Y93" s="1"/>
      <c r="Z93" s="1"/>
    </row>
    <row r="94" spans="1:26" ht="14.25" customHeight="1">
      <c r="A94" s="4"/>
      <c r="B94" s="1"/>
      <c r="C94" s="1"/>
      <c r="D94" s="1"/>
      <c r="E94" s="1"/>
      <c r="F94" s="1"/>
      <c r="G94" s="1"/>
      <c r="H94" s="1"/>
      <c r="I94" s="1"/>
      <c r="J94" s="1"/>
      <c r="K94" s="1"/>
      <c r="L94" s="1"/>
      <c r="M94" s="1"/>
      <c r="N94" s="1"/>
      <c r="O94" s="1"/>
      <c r="P94" s="1"/>
      <c r="Q94" s="1"/>
      <c r="R94" s="1"/>
      <c r="S94" s="1"/>
      <c r="T94" s="1"/>
      <c r="U94" s="1"/>
      <c r="V94" s="1"/>
      <c r="W94" s="1"/>
      <c r="X94" s="1"/>
      <c r="Y94" s="1"/>
      <c r="Z94" s="1"/>
    </row>
    <row r="95" spans="1:26" ht="14.25" customHeight="1">
      <c r="A95" s="4"/>
      <c r="B95" s="1"/>
      <c r="C95" s="1"/>
      <c r="D95" s="1"/>
      <c r="E95" s="1"/>
      <c r="F95" s="1"/>
      <c r="G95" s="1"/>
      <c r="H95" s="1"/>
      <c r="I95" s="1"/>
      <c r="J95" s="1"/>
      <c r="K95" s="1"/>
      <c r="L95" s="1"/>
      <c r="M95" s="1"/>
      <c r="N95" s="1"/>
      <c r="O95" s="1"/>
      <c r="P95" s="1"/>
      <c r="Q95" s="1"/>
      <c r="R95" s="1"/>
      <c r="S95" s="1"/>
      <c r="T95" s="1"/>
      <c r="U95" s="1"/>
      <c r="V95" s="1"/>
      <c r="W95" s="1"/>
      <c r="X95" s="1"/>
      <c r="Y95" s="1"/>
      <c r="Z95" s="1"/>
    </row>
    <row r="96" spans="1:26" ht="14.25" customHeight="1">
      <c r="A96" s="4"/>
      <c r="B96" s="1"/>
      <c r="C96" s="1"/>
      <c r="D96" s="1"/>
      <c r="E96" s="1"/>
      <c r="F96" s="1"/>
      <c r="G96" s="1"/>
      <c r="H96" s="1"/>
      <c r="I96" s="1"/>
      <c r="J96" s="1"/>
      <c r="K96" s="1"/>
      <c r="L96" s="1"/>
      <c r="M96" s="1"/>
      <c r="N96" s="1"/>
      <c r="O96" s="1"/>
      <c r="P96" s="1"/>
      <c r="Q96" s="1"/>
      <c r="R96" s="1"/>
      <c r="S96" s="1"/>
      <c r="T96" s="1"/>
      <c r="U96" s="1"/>
      <c r="V96" s="1"/>
      <c r="W96" s="1"/>
      <c r="X96" s="1"/>
      <c r="Y96" s="1"/>
      <c r="Z96" s="1"/>
    </row>
    <row r="97" spans="1:26" ht="14.25" customHeight="1">
      <c r="A97" s="4"/>
      <c r="B97" s="1"/>
      <c r="C97" s="1"/>
      <c r="D97" s="1"/>
      <c r="E97" s="1"/>
      <c r="F97" s="1"/>
      <c r="G97" s="1"/>
      <c r="H97" s="1"/>
      <c r="I97" s="1"/>
      <c r="J97" s="1"/>
      <c r="K97" s="1"/>
      <c r="L97" s="1"/>
      <c r="M97" s="1"/>
      <c r="N97" s="1"/>
      <c r="O97" s="1"/>
      <c r="P97" s="1"/>
      <c r="Q97" s="1"/>
      <c r="R97" s="1"/>
      <c r="S97" s="1"/>
      <c r="T97" s="1"/>
      <c r="U97" s="1"/>
      <c r="V97" s="1"/>
      <c r="W97" s="1"/>
      <c r="X97" s="1"/>
      <c r="Y97" s="1"/>
      <c r="Z97" s="1"/>
    </row>
    <row r="98" spans="1:26" ht="14.25" customHeight="1">
      <c r="A98" s="4"/>
      <c r="B98" s="1"/>
      <c r="C98" s="1"/>
      <c r="D98" s="1"/>
      <c r="E98" s="1"/>
      <c r="F98" s="1"/>
      <c r="G98" s="1"/>
      <c r="H98" s="1"/>
      <c r="I98" s="1"/>
      <c r="J98" s="1"/>
      <c r="K98" s="1"/>
      <c r="L98" s="1"/>
      <c r="M98" s="1"/>
      <c r="N98" s="1"/>
      <c r="O98" s="1"/>
      <c r="P98" s="1"/>
      <c r="Q98" s="1"/>
      <c r="R98" s="1"/>
      <c r="S98" s="1"/>
      <c r="T98" s="1"/>
      <c r="U98" s="1"/>
      <c r="V98" s="1"/>
      <c r="W98" s="1"/>
      <c r="X98" s="1"/>
      <c r="Y98" s="1"/>
      <c r="Z98" s="1"/>
    </row>
    <row r="99" spans="1:26" ht="14.25" customHeight="1">
      <c r="A99" s="4"/>
      <c r="B99" s="1"/>
      <c r="C99" s="1"/>
      <c r="D99" s="1"/>
      <c r="E99" s="1"/>
      <c r="F99" s="1"/>
      <c r="G99" s="1"/>
      <c r="H99" s="1"/>
      <c r="I99" s="1"/>
      <c r="J99" s="1"/>
      <c r="K99" s="1"/>
      <c r="L99" s="1"/>
      <c r="M99" s="1"/>
      <c r="N99" s="1"/>
      <c r="O99" s="1"/>
      <c r="P99" s="1"/>
      <c r="Q99" s="1"/>
      <c r="R99" s="1"/>
      <c r="S99" s="1"/>
      <c r="T99" s="1"/>
      <c r="U99" s="1"/>
      <c r="V99" s="1"/>
      <c r="W99" s="1"/>
      <c r="X99" s="1"/>
      <c r="Y99" s="1"/>
      <c r="Z99" s="1"/>
    </row>
    <row r="100" spans="1:26" ht="14.25" customHeight="1">
      <c r="A100" s="4"/>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4.25" customHeight="1">
      <c r="A101" s="4"/>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4.25" customHeight="1">
      <c r="A102" s="4"/>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4.25" customHeight="1">
      <c r="A103" s="4"/>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4.25" customHeight="1">
      <c r="A104" s="4"/>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4.25" customHeight="1">
      <c r="A105" s="4"/>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4.25" customHeight="1">
      <c r="A106" s="4"/>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4.25" customHeight="1">
      <c r="A107" s="4"/>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4.25" customHeight="1">
      <c r="A108" s="4"/>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4.25" customHeight="1">
      <c r="A109" s="4"/>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4.25" customHeight="1">
      <c r="A110" s="4"/>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4.25" customHeight="1">
      <c r="A111" s="4"/>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4.25" customHeight="1">
      <c r="A112" s="4"/>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4.25" customHeight="1">
      <c r="A113" s="4"/>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4.25" customHeight="1">
      <c r="A114" s="4"/>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4.25" customHeight="1">
      <c r="A115" s="4"/>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4.25" customHeight="1">
      <c r="A116" s="4"/>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4.25" customHeight="1">
      <c r="A117" s="4"/>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4.25" customHeight="1">
      <c r="A118" s="4"/>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4.25" customHeight="1">
      <c r="A119" s="4"/>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4.25" customHeight="1">
      <c r="A120" s="4"/>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4.25" customHeight="1">
      <c r="A121" s="4"/>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4.25" customHeight="1">
      <c r="A122" s="4"/>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4.25" customHeight="1">
      <c r="A123" s="4"/>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4.25" customHeight="1">
      <c r="A124" s="4"/>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4.25" customHeight="1">
      <c r="A125" s="4"/>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4.25" customHeight="1">
      <c r="A126" s="4"/>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4.25" customHeight="1">
      <c r="A127" s="4"/>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4.25" customHeight="1">
      <c r="A128" s="4"/>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4.25" customHeight="1">
      <c r="A129" s="4"/>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4.25" customHeight="1">
      <c r="A130" s="4"/>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4.25" customHeight="1">
      <c r="A131" s="4"/>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4.25" customHeight="1">
      <c r="A132" s="4"/>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4.25" customHeight="1">
      <c r="A133" s="4"/>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4.25" customHeight="1">
      <c r="A134" s="4"/>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4.25" customHeight="1">
      <c r="A135" s="4"/>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4.25" customHeight="1">
      <c r="A136" s="4"/>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4.25" customHeight="1">
      <c r="A137" s="4"/>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4.25" customHeight="1">
      <c r="A138" s="4"/>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4.25" customHeight="1">
      <c r="A139" s="4"/>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4.25" customHeight="1">
      <c r="A140" s="4"/>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4.25" customHeight="1">
      <c r="A141" s="4"/>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4.25" customHeight="1">
      <c r="A142" s="4"/>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4.25" customHeight="1">
      <c r="A143" s="4"/>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4.25" customHeight="1">
      <c r="A144" s="4"/>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4.25" customHeight="1">
      <c r="A145" s="4"/>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4.25" customHeight="1">
      <c r="A146" s="4"/>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4.25" customHeight="1">
      <c r="A147" s="4"/>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4.25" customHeight="1">
      <c r="A148" s="4"/>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4.25" customHeight="1">
      <c r="A149" s="4"/>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4.25" customHeight="1">
      <c r="A150" s="4"/>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4.25" customHeight="1">
      <c r="A151" s="4"/>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4.25" customHeight="1">
      <c r="A152" s="4"/>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4.25" customHeight="1">
      <c r="A153" s="4"/>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4.25" customHeight="1">
      <c r="A154" s="4"/>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4.25" customHeight="1">
      <c r="A155" s="4"/>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4.25" customHeight="1">
      <c r="A156" s="4"/>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4.25" customHeight="1">
      <c r="A157" s="4"/>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4.25" customHeight="1">
      <c r="A158" s="4"/>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4.25" customHeight="1">
      <c r="A159" s="4"/>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4.25" customHeight="1">
      <c r="A160" s="4"/>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4.25" customHeight="1">
      <c r="A161" s="4"/>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4.25" customHeight="1">
      <c r="A162" s="4"/>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4.25" customHeight="1">
      <c r="A163" s="4"/>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4.25" customHeight="1">
      <c r="A164" s="4"/>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4.25" customHeight="1">
      <c r="A165" s="4"/>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4.25" customHeight="1">
      <c r="A166" s="4"/>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4.25" customHeight="1">
      <c r="A167" s="4"/>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4.25" customHeight="1">
      <c r="A168" s="4"/>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4.25" customHeight="1">
      <c r="A169" s="4"/>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4.25" customHeight="1">
      <c r="A170" s="4"/>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4.25" customHeight="1">
      <c r="A171" s="4"/>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4.25" customHeight="1">
      <c r="A172" s="4"/>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4.25" customHeight="1">
      <c r="A173" s="4"/>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4.25" customHeight="1">
      <c r="A174" s="4"/>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4.25" customHeight="1">
      <c r="A175" s="4"/>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4.25" customHeight="1">
      <c r="A176" s="4"/>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4.25" customHeight="1">
      <c r="A177" s="4"/>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4.25" customHeight="1">
      <c r="A178" s="4"/>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4.25" customHeight="1">
      <c r="A179" s="4"/>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4.25" customHeight="1">
      <c r="A180" s="4"/>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4.25" customHeight="1">
      <c r="A181" s="4"/>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4.25" customHeight="1">
      <c r="A182" s="4"/>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4.25" customHeight="1">
      <c r="A183" s="4"/>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4.25" customHeight="1">
      <c r="A184" s="4"/>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4.25" customHeight="1">
      <c r="A185" s="4"/>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4.25" customHeight="1">
      <c r="A186" s="4"/>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4.25" customHeight="1">
      <c r="A187" s="4"/>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4.25" customHeight="1">
      <c r="A188" s="4"/>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4.25" customHeight="1">
      <c r="A189" s="4"/>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4.25" customHeight="1">
      <c r="A190" s="4"/>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4.25" customHeight="1">
      <c r="A191" s="4"/>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4.25" customHeight="1">
      <c r="A192" s="4"/>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4.25" customHeight="1">
      <c r="A193" s="4"/>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4.25" customHeight="1">
      <c r="A194" s="4"/>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4.25" customHeight="1">
      <c r="A195" s="4"/>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4.25" customHeight="1">
      <c r="A196" s="4"/>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4.25" customHeight="1">
      <c r="A197" s="4"/>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4.25" customHeight="1">
      <c r="A198" s="4"/>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4.25" customHeight="1">
      <c r="A199" s="4"/>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4.25" customHeight="1">
      <c r="A200" s="4"/>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4.25" customHeight="1">
      <c r="A201" s="4"/>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4.25" customHeight="1">
      <c r="A202" s="4"/>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4.25" customHeight="1">
      <c r="A203" s="4"/>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4.25" customHeight="1">
      <c r="A204" s="4"/>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4.25" customHeight="1">
      <c r="A205" s="4"/>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4.25" customHeight="1">
      <c r="A206" s="4"/>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4.25" customHeight="1">
      <c r="A207" s="4"/>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4.25" customHeight="1">
      <c r="A208" s="4"/>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4.25" customHeight="1">
      <c r="A209" s="4"/>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4.25" customHeight="1">
      <c r="A210" s="4"/>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4.25" customHeight="1">
      <c r="A211" s="4"/>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4.25" customHeight="1">
      <c r="A212" s="4"/>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4.25" customHeight="1">
      <c r="A213" s="4"/>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4.25" customHeight="1">
      <c r="A214" s="4"/>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4.25" customHeight="1">
      <c r="A215" s="4"/>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4.25" customHeight="1">
      <c r="A216" s="4"/>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4.25" customHeight="1">
      <c r="A217" s="4"/>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4.25" customHeight="1">
      <c r="A218" s="4"/>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4.25" customHeight="1">
      <c r="A219" s="4"/>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4.25" customHeight="1">
      <c r="A220" s="4"/>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4.25" customHeight="1">
      <c r="A221" s="4"/>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4.25" customHeight="1">
      <c r="A222" s="4"/>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4.25" customHeight="1">
      <c r="A223" s="4"/>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4.25" customHeight="1">
      <c r="A224" s="4"/>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4.25" customHeight="1">
      <c r="A225" s="4"/>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4.25" customHeight="1">
      <c r="A226" s="4"/>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4.25" customHeight="1">
      <c r="A227" s="4"/>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4.25" customHeight="1">
      <c r="A228" s="4"/>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4.25" customHeight="1">
      <c r="A229" s="4"/>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4.25" customHeight="1">
      <c r="A230" s="4"/>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4.25" customHeight="1">
      <c r="A231" s="4"/>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4.25" customHeight="1">
      <c r="A232" s="4"/>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4.25" customHeight="1">
      <c r="A233" s="4"/>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4.25" customHeight="1">
      <c r="A234" s="4"/>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4.25" customHeight="1">
      <c r="A235" s="4"/>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4.25" customHeight="1">
      <c r="A236" s="4"/>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4.25" customHeight="1">
      <c r="A237" s="4"/>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4.25" customHeight="1">
      <c r="A238" s="4"/>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4.25" customHeight="1">
      <c r="A239" s="4"/>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4.25" customHeight="1">
      <c r="A240" s="4"/>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4.25" customHeight="1">
      <c r="A241" s="4"/>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4.25" customHeight="1">
      <c r="A242" s="4"/>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4.25" customHeight="1">
      <c r="A243" s="4"/>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4.25" customHeight="1">
      <c r="A244" s="4"/>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4.25" customHeight="1">
      <c r="A245" s="4"/>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4.25" customHeight="1">
      <c r="A246" s="4"/>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4.25" customHeight="1">
      <c r="A247" s="4"/>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4.25" customHeight="1">
      <c r="A248" s="4"/>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4.25" customHeight="1">
      <c r="A249" s="4"/>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4.25" customHeight="1">
      <c r="A250" s="4"/>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4.25" customHeight="1">
      <c r="A251" s="4"/>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4.25" customHeight="1">
      <c r="A252" s="4"/>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4.25" customHeight="1">
      <c r="A253" s="4"/>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4.25" customHeight="1">
      <c r="A254" s="4"/>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4.25" customHeight="1">
      <c r="A255" s="4"/>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4.25" customHeight="1">
      <c r="A256" s="4"/>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4.25" customHeight="1">
      <c r="A257" s="4"/>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4.25" customHeight="1">
      <c r="A258" s="4"/>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4.25" customHeight="1">
      <c r="A259" s="4"/>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4.25" customHeight="1">
      <c r="A260" s="4"/>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4.25" customHeight="1">
      <c r="A261" s="4"/>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4.25" customHeight="1">
      <c r="A262" s="4"/>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4.25" customHeight="1">
      <c r="A263" s="4"/>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4.25" customHeight="1">
      <c r="A264" s="4"/>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4.25" customHeight="1">
      <c r="A265" s="4"/>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4.25" customHeight="1">
      <c r="A266" s="4"/>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4.25" customHeight="1">
      <c r="A267" s="4"/>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4.25" customHeight="1">
      <c r="A268" s="4"/>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4.25" customHeight="1">
      <c r="A269" s="4"/>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4.25" customHeight="1">
      <c r="A270" s="4"/>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4.25" customHeight="1">
      <c r="A271" s="4"/>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4.25" customHeight="1">
      <c r="A272" s="4"/>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4.25" customHeight="1">
      <c r="A273" s="4"/>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4.25" customHeight="1">
      <c r="A274" s="4"/>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4.25" customHeight="1">
      <c r="A275" s="4"/>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4.25" customHeight="1">
      <c r="A276" s="4"/>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4.25" customHeight="1">
      <c r="A277" s="4"/>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4.25" customHeight="1">
      <c r="A278" s="4"/>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4.25" customHeight="1">
      <c r="A279" s="4"/>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4.25" customHeight="1">
      <c r="A280" s="4"/>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4.25" customHeight="1">
      <c r="A281" s="4"/>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4.25" customHeight="1">
      <c r="A282" s="4"/>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4.25" customHeight="1">
      <c r="A283" s="4"/>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4.25" customHeight="1">
      <c r="A284" s="4"/>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4.25" customHeight="1">
      <c r="A285" s="4"/>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4.25" customHeight="1">
      <c r="A286" s="4"/>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4.25" customHeight="1">
      <c r="A287" s="4"/>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4.25" customHeight="1">
      <c r="A288" s="4"/>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4.25" customHeight="1">
      <c r="A289" s="4"/>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4.25" customHeight="1">
      <c r="A290" s="4"/>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4.25" customHeight="1">
      <c r="A291" s="4"/>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4.25" customHeight="1">
      <c r="A292" s="4"/>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4.25" customHeight="1">
      <c r="A293" s="4"/>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4.25" customHeight="1">
      <c r="A294" s="4"/>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4.25" customHeight="1">
      <c r="A295" s="4"/>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4.25" customHeight="1">
      <c r="A296" s="4"/>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4.25" customHeight="1">
      <c r="A297" s="4"/>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4.25" customHeight="1">
      <c r="A298" s="4"/>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4.25" customHeight="1">
      <c r="A299" s="4"/>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4.25" customHeight="1">
      <c r="A300" s="4"/>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4.25" customHeight="1">
      <c r="A301" s="4"/>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4.25" customHeight="1">
      <c r="A302" s="4"/>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4.25" customHeight="1">
      <c r="A303" s="4"/>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4.25" customHeight="1">
      <c r="A304" s="4"/>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4.25" customHeight="1">
      <c r="A305" s="4"/>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4.25" customHeight="1">
      <c r="A306" s="4"/>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4.25" customHeight="1">
      <c r="A307" s="4"/>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4.25" customHeight="1">
      <c r="A308" s="4"/>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4.25" customHeight="1">
      <c r="A309" s="4"/>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4.25" customHeight="1">
      <c r="A310" s="4"/>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4.25" customHeight="1">
      <c r="A311" s="4"/>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4.25" customHeight="1">
      <c r="A312" s="4"/>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4.25" customHeight="1">
      <c r="A313" s="4"/>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4.25" customHeight="1">
      <c r="A314" s="4"/>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4.25" customHeight="1">
      <c r="A315" s="4"/>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4.25" customHeight="1">
      <c r="A316" s="4"/>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4.25" customHeight="1">
      <c r="A317" s="4"/>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4.25" customHeight="1">
      <c r="A318" s="4"/>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4.25" customHeight="1">
      <c r="A319" s="4"/>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4.25" customHeight="1">
      <c r="A320" s="4"/>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4.25" customHeight="1">
      <c r="A321" s="4"/>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4.25" customHeight="1">
      <c r="A322" s="4"/>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4.25" customHeight="1">
      <c r="A323" s="4"/>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4.25" customHeight="1">
      <c r="A324" s="4"/>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4.25" customHeight="1">
      <c r="A325" s="4"/>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4.25" customHeight="1">
      <c r="A326" s="4"/>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4.25" customHeight="1">
      <c r="A327" s="4"/>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4.25" customHeight="1">
      <c r="A328" s="4"/>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4.25" customHeight="1">
      <c r="A329" s="4"/>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4.25" customHeight="1">
      <c r="A330" s="4"/>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4.25" customHeight="1">
      <c r="A331" s="4"/>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4.25" customHeight="1">
      <c r="A332" s="4"/>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4.25" customHeight="1">
      <c r="A333" s="4"/>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4.25" customHeight="1">
      <c r="A334" s="4"/>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4.25" customHeight="1">
      <c r="A335" s="4"/>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4.25" customHeight="1">
      <c r="A336" s="4"/>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4.25" customHeight="1">
      <c r="A337" s="4"/>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4.25" customHeight="1">
      <c r="A338" s="4"/>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4.25" customHeight="1">
      <c r="A339" s="4"/>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4.25" customHeight="1">
      <c r="A340" s="4"/>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4.25" customHeight="1">
      <c r="A341" s="4"/>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4.25" customHeight="1">
      <c r="A342" s="4"/>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4.25" customHeight="1">
      <c r="A343" s="4"/>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4.25" customHeight="1">
      <c r="A344" s="4"/>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4.25" customHeight="1">
      <c r="A345" s="4"/>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4.25" customHeight="1">
      <c r="A346" s="4"/>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4.25" customHeight="1">
      <c r="A347" s="4"/>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4.25" customHeight="1">
      <c r="A348" s="4"/>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4.25" customHeight="1">
      <c r="A349" s="4"/>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4.25" customHeight="1">
      <c r="A350" s="4"/>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4.25" customHeight="1">
      <c r="A351" s="4"/>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4.25" customHeight="1">
      <c r="A352" s="4"/>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4.25" customHeight="1">
      <c r="A353" s="4"/>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4.25" customHeight="1">
      <c r="A354" s="4"/>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4.25" customHeight="1">
      <c r="A355" s="4"/>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4.25" customHeight="1">
      <c r="A356" s="4"/>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4.25" customHeight="1">
      <c r="A357" s="4"/>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4.25" customHeight="1">
      <c r="A358" s="4"/>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4.25" customHeight="1">
      <c r="A359" s="4"/>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4.25" customHeight="1">
      <c r="A360" s="4"/>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4.25" customHeight="1">
      <c r="A361" s="4"/>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4.25" customHeight="1">
      <c r="A362" s="4"/>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4.25" customHeight="1">
      <c r="A363" s="4"/>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4.25" customHeight="1">
      <c r="A364" s="4"/>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4.25" customHeight="1">
      <c r="A365" s="4"/>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4.25" customHeight="1">
      <c r="A366" s="4"/>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4.25" customHeight="1">
      <c r="A367" s="4"/>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4.25" customHeight="1">
      <c r="A368" s="4"/>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4.25" customHeight="1">
      <c r="A369" s="4"/>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4.25" customHeight="1">
      <c r="A370" s="4"/>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4.25" customHeight="1">
      <c r="A371" s="4"/>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4.25" customHeight="1">
      <c r="A372" s="4"/>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4.25" customHeight="1">
      <c r="A373" s="4"/>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4.25" customHeight="1">
      <c r="A374" s="4"/>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4.25" customHeight="1">
      <c r="A375" s="4"/>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4.25" customHeight="1">
      <c r="A376" s="4"/>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4.25" customHeight="1">
      <c r="A377" s="4"/>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4.25" customHeight="1">
      <c r="A378" s="4"/>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4.25" customHeight="1">
      <c r="A379" s="4"/>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4.25" customHeight="1">
      <c r="A380" s="4"/>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4.25" customHeight="1">
      <c r="A381" s="4"/>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4.25" customHeight="1">
      <c r="A382" s="4"/>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4.25" customHeight="1">
      <c r="A383" s="4"/>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4.25" customHeight="1">
      <c r="A384" s="4"/>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4.25" customHeight="1">
      <c r="A385" s="4"/>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4.25" customHeight="1">
      <c r="A386" s="4"/>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4.25" customHeight="1">
      <c r="A387" s="4"/>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4.25" customHeight="1">
      <c r="A388" s="4"/>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4.25" customHeight="1">
      <c r="A389" s="4"/>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4.25" customHeight="1">
      <c r="A390" s="4"/>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4.25" customHeight="1">
      <c r="A391" s="4"/>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4.25" customHeight="1">
      <c r="A392" s="4"/>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4.25" customHeight="1">
      <c r="A393" s="4"/>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4.25" customHeight="1">
      <c r="A394" s="4"/>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4.25" customHeight="1">
      <c r="A395" s="4"/>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4.25" customHeight="1">
      <c r="A396" s="4"/>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4.25" customHeight="1">
      <c r="A397" s="4"/>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4.25" customHeight="1">
      <c r="A398" s="4"/>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4.25" customHeight="1">
      <c r="A399" s="4"/>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4.25" customHeight="1">
      <c r="A400" s="4"/>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4.25" customHeight="1">
      <c r="A401" s="4"/>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4.25" customHeight="1">
      <c r="A402" s="4"/>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4.25" customHeight="1">
      <c r="A403" s="4"/>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4.25" customHeight="1">
      <c r="A404" s="4"/>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4.25" customHeight="1">
      <c r="A405" s="4"/>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4.25" customHeight="1">
      <c r="A406" s="4"/>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4.25" customHeight="1">
      <c r="A407" s="4"/>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4.25" customHeight="1">
      <c r="A408" s="4"/>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4.25" customHeight="1">
      <c r="A409" s="4"/>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4.25" customHeight="1">
      <c r="A410" s="4"/>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4.25" customHeight="1">
      <c r="A411" s="4"/>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4.25" customHeight="1">
      <c r="A412" s="4"/>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4.25" customHeight="1">
      <c r="A413" s="4"/>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4.25" customHeight="1">
      <c r="A414" s="4"/>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4.25" customHeight="1">
      <c r="A415" s="4"/>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4.25" customHeight="1">
      <c r="A416" s="4"/>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4.25" customHeight="1">
      <c r="A417" s="4"/>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4.25" customHeight="1">
      <c r="A418" s="4"/>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4.25" customHeight="1">
      <c r="A419" s="4"/>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4.25" customHeight="1">
      <c r="A420" s="4"/>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4.25" customHeight="1">
      <c r="A421" s="4"/>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4.25" customHeight="1">
      <c r="A422" s="4"/>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4.25" customHeight="1">
      <c r="A423" s="4"/>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4.25" customHeight="1">
      <c r="A424" s="4"/>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4.25" customHeight="1">
      <c r="A425" s="4"/>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4.25" customHeight="1">
      <c r="A426" s="4"/>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4.25" customHeight="1">
      <c r="A427" s="4"/>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4.25" customHeight="1">
      <c r="A428" s="4"/>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4.25" customHeight="1">
      <c r="A429" s="4"/>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4.25" customHeight="1">
      <c r="A430" s="4"/>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4.25" customHeight="1">
      <c r="A431" s="4"/>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4.25" customHeight="1">
      <c r="A432" s="4"/>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4.25" customHeight="1">
      <c r="A433" s="4"/>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4.25" customHeight="1">
      <c r="A434" s="4"/>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4.25" customHeight="1">
      <c r="A435" s="4"/>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4.25" customHeight="1">
      <c r="A436" s="4"/>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4.25" customHeight="1">
      <c r="A437" s="4"/>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4.25" customHeight="1">
      <c r="A438" s="4"/>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4.25" customHeight="1">
      <c r="A439" s="4"/>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4.25" customHeight="1">
      <c r="A440" s="4"/>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4.25" customHeight="1">
      <c r="A441" s="4"/>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4.25" customHeight="1">
      <c r="A442" s="4"/>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4.25" customHeight="1">
      <c r="A443" s="4"/>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4.25" customHeight="1">
      <c r="A444" s="4"/>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4.25" customHeight="1">
      <c r="A445" s="4"/>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4.25" customHeight="1">
      <c r="A446" s="4"/>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4.25" customHeight="1">
      <c r="A447" s="4"/>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4.25" customHeight="1">
      <c r="A448" s="4"/>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4.25" customHeight="1">
      <c r="A449" s="4"/>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4.25" customHeight="1">
      <c r="A450" s="4"/>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4.25" customHeight="1">
      <c r="A451" s="4"/>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4.25" customHeight="1">
      <c r="A452" s="4"/>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4.25" customHeight="1">
      <c r="A453" s="4"/>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4.25" customHeight="1">
      <c r="A454" s="4"/>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4.25" customHeight="1">
      <c r="A455" s="4"/>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4.25" customHeight="1">
      <c r="A456" s="4"/>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4.25" customHeight="1">
      <c r="A457" s="4"/>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4.25" customHeight="1">
      <c r="A458" s="4"/>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4.25" customHeight="1">
      <c r="A459" s="4"/>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4.25" customHeight="1">
      <c r="A460" s="4"/>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4.25" customHeight="1">
      <c r="A461" s="4"/>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4.25" customHeight="1">
      <c r="A462" s="4"/>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4.25" customHeight="1">
      <c r="A463" s="4"/>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4.25" customHeight="1">
      <c r="A464" s="4"/>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4.25" customHeight="1">
      <c r="A465" s="4"/>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4.25" customHeight="1">
      <c r="A466" s="4"/>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4.25" customHeight="1">
      <c r="A467" s="4"/>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4.25" customHeight="1">
      <c r="A468" s="4"/>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4.25" customHeight="1">
      <c r="A469" s="4"/>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4.25" customHeight="1">
      <c r="A470" s="4"/>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4.25" customHeight="1">
      <c r="A471" s="4"/>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4.25" customHeight="1">
      <c r="A472" s="4"/>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4.25" customHeight="1">
      <c r="A473" s="4"/>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4.25" customHeight="1">
      <c r="A474" s="4"/>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4.25" customHeight="1">
      <c r="A475" s="4"/>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4.25" customHeight="1">
      <c r="A476" s="4"/>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4.25" customHeight="1">
      <c r="A477" s="4"/>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4.25" customHeight="1">
      <c r="A478" s="4"/>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4.25" customHeight="1">
      <c r="A479" s="4"/>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4.25" customHeight="1">
      <c r="A480" s="4"/>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4.25" customHeight="1">
      <c r="A481" s="4"/>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4.25" customHeight="1">
      <c r="A482" s="4"/>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4.25" customHeight="1">
      <c r="A483" s="4"/>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4.25" customHeight="1">
      <c r="A484" s="4"/>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4.25" customHeight="1">
      <c r="A485" s="4"/>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4.25" customHeight="1">
      <c r="A486" s="4"/>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4.25" customHeight="1">
      <c r="A487" s="4"/>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4.25" customHeight="1">
      <c r="A488" s="4"/>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4.25" customHeight="1">
      <c r="A489" s="4"/>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4.25" customHeight="1">
      <c r="A490" s="4"/>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4.25" customHeight="1">
      <c r="A491" s="4"/>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4.25" customHeight="1">
      <c r="A492" s="4"/>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4.25" customHeight="1">
      <c r="A493" s="4"/>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4.25" customHeight="1">
      <c r="A494" s="4"/>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4.25" customHeight="1">
      <c r="A495" s="4"/>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4.25" customHeight="1">
      <c r="A496" s="4"/>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4.25" customHeight="1">
      <c r="A497" s="4"/>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4.25" customHeight="1">
      <c r="A498" s="4"/>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4.25" customHeight="1">
      <c r="A499" s="4"/>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4.25" customHeight="1">
      <c r="A500" s="4"/>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4.25" customHeight="1">
      <c r="A501" s="4"/>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4.25" customHeight="1">
      <c r="A502" s="4"/>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4.25" customHeight="1">
      <c r="A503" s="4"/>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4.25" customHeight="1">
      <c r="A504" s="4"/>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4.25" customHeight="1">
      <c r="A505" s="4"/>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4.25" customHeight="1">
      <c r="A506" s="4"/>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4.25" customHeight="1">
      <c r="A507" s="4"/>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4.25" customHeight="1">
      <c r="A508" s="4"/>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4.25" customHeight="1">
      <c r="A509" s="4"/>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4.25" customHeight="1">
      <c r="A510" s="4"/>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4.25" customHeight="1">
      <c r="A511" s="4"/>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4.25" customHeight="1">
      <c r="A512" s="4"/>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4.25" customHeight="1">
      <c r="A513" s="4"/>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4.25" customHeight="1">
      <c r="A514" s="4"/>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4.25" customHeight="1">
      <c r="A515" s="4"/>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4.25" customHeight="1">
      <c r="A516" s="4"/>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4.25" customHeight="1">
      <c r="A517" s="4"/>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4.25" customHeight="1">
      <c r="A518" s="4"/>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4.25" customHeight="1">
      <c r="A519" s="4"/>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4.25" customHeight="1">
      <c r="A520" s="4"/>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4.25" customHeight="1">
      <c r="A521" s="4"/>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4.25" customHeight="1">
      <c r="A522" s="4"/>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4.25" customHeight="1">
      <c r="A523" s="4"/>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4.25" customHeight="1">
      <c r="A524" s="4"/>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4.25" customHeight="1">
      <c r="A525" s="4"/>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4.25" customHeight="1">
      <c r="A526" s="4"/>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4.25" customHeight="1">
      <c r="A527" s="4"/>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4.25" customHeight="1">
      <c r="A528" s="4"/>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4.25" customHeight="1">
      <c r="A529" s="4"/>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4.25" customHeight="1">
      <c r="A530" s="4"/>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4.25" customHeight="1">
      <c r="A531" s="4"/>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4.25" customHeight="1">
      <c r="A532" s="4"/>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4.25" customHeight="1">
      <c r="A533" s="4"/>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4.25" customHeight="1">
      <c r="A534" s="4"/>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4.25" customHeight="1">
      <c r="A535" s="4"/>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4.25" customHeight="1">
      <c r="A536" s="4"/>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4.25" customHeight="1">
      <c r="A537" s="4"/>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4.25" customHeight="1">
      <c r="A538" s="4"/>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4.25" customHeight="1">
      <c r="A539" s="4"/>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4.25" customHeight="1">
      <c r="A540" s="4"/>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4.25" customHeight="1">
      <c r="A541" s="4"/>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4.25" customHeight="1">
      <c r="A542" s="4"/>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4.25" customHeight="1">
      <c r="A543" s="4"/>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4.25" customHeight="1">
      <c r="A544" s="4"/>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4.25" customHeight="1">
      <c r="A545" s="4"/>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4.25" customHeight="1">
      <c r="A546" s="4"/>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4.25" customHeight="1">
      <c r="A547" s="4"/>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4.25" customHeight="1">
      <c r="A548" s="4"/>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4.25" customHeight="1">
      <c r="A549" s="4"/>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4.25" customHeight="1">
      <c r="A550" s="4"/>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4.25" customHeight="1">
      <c r="A551" s="4"/>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4.25" customHeight="1">
      <c r="A552" s="4"/>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4.25" customHeight="1">
      <c r="A553" s="4"/>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4.25" customHeight="1">
      <c r="A554" s="4"/>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4.25" customHeight="1">
      <c r="A555" s="4"/>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4.25" customHeight="1">
      <c r="A556" s="4"/>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4.25" customHeight="1">
      <c r="A557" s="4"/>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4.25" customHeight="1">
      <c r="A558" s="4"/>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4.25" customHeight="1">
      <c r="A559" s="4"/>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4.25" customHeight="1">
      <c r="A560" s="4"/>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4.25" customHeight="1">
      <c r="A561" s="4"/>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4.25" customHeight="1">
      <c r="A562" s="4"/>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4.25" customHeight="1">
      <c r="A563" s="4"/>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4.25" customHeight="1">
      <c r="A564" s="4"/>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4.25" customHeight="1">
      <c r="A565" s="4"/>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4.25" customHeight="1">
      <c r="A566" s="4"/>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4.25" customHeight="1">
      <c r="A567" s="4"/>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4.25" customHeight="1">
      <c r="A568" s="4"/>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4.25" customHeight="1">
      <c r="A569" s="4"/>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4.25" customHeight="1">
      <c r="A570" s="4"/>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4.25" customHeight="1">
      <c r="A571" s="4"/>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4.25" customHeight="1">
      <c r="A572" s="4"/>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4.25" customHeight="1">
      <c r="A573" s="4"/>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4.25" customHeight="1">
      <c r="A574" s="4"/>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4.25" customHeight="1">
      <c r="A575" s="4"/>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4.25" customHeight="1">
      <c r="A576" s="4"/>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4.25" customHeight="1">
      <c r="A577" s="4"/>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4.25" customHeight="1">
      <c r="A578" s="4"/>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4.25" customHeight="1">
      <c r="A579" s="4"/>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4.25" customHeight="1">
      <c r="A580" s="4"/>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4.25" customHeight="1">
      <c r="A581" s="4"/>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4.25" customHeight="1">
      <c r="A582" s="4"/>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4.25" customHeight="1">
      <c r="A583" s="4"/>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4.25" customHeight="1">
      <c r="A584" s="4"/>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4.25" customHeight="1">
      <c r="A585" s="4"/>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4.25" customHeight="1">
      <c r="A586" s="4"/>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4.25" customHeight="1">
      <c r="A587" s="4"/>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4.25" customHeight="1">
      <c r="A588" s="4"/>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4.25" customHeight="1">
      <c r="A589" s="4"/>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4.25" customHeight="1">
      <c r="A590" s="4"/>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4.25" customHeight="1">
      <c r="A591" s="4"/>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4.25" customHeight="1">
      <c r="A592" s="4"/>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4.25" customHeight="1">
      <c r="A593" s="4"/>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4.25" customHeight="1">
      <c r="A594" s="4"/>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4.25" customHeight="1">
      <c r="A595" s="4"/>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4.25" customHeight="1">
      <c r="A596" s="4"/>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4.25" customHeight="1">
      <c r="A597" s="4"/>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4.25" customHeight="1">
      <c r="A598" s="4"/>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4.25" customHeight="1">
      <c r="A599" s="4"/>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4.25" customHeight="1">
      <c r="A600" s="4"/>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4.25" customHeight="1">
      <c r="A601" s="4"/>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4.25" customHeight="1">
      <c r="A602" s="4"/>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4.25" customHeight="1">
      <c r="A603" s="4"/>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4.25" customHeight="1">
      <c r="A604" s="4"/>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4.25" customHeight="1">
      <c r="A605" s="4"/>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4.25" customHeight="1">
      <c r="A606" s="4"/>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4.25" customHeight="1">
      <c r="A607" s="4"/>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4.25" customHeight="1">
      <c r="A608" s="4"/>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4.25" customHeight="1">
      <c r="A609" s="4"/>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4.25" customHeight="1">
      <c r="A610" s="4"/>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4.25" customHeight="1">
      <c r="A611" s="4"/>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4.25" customHeight="1">
      <c r="A612" s="4"/>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4.25" customHeight="1">
      <c r="A613" s="4"/>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4.25" customHeight="1">
      <c r="A614" s="4"/>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4.25" customHeight="1">
      <c r="A615" s="4"/>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4.25" customHeight="1">
      <c r="A616" s="4"/>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4.25" customHeight="1">
      <c r="A617" s="4"/>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4.25" customHeight="1">
      <c r="A618" s="4"/>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4.25" customHeight="1">
      <c r="A619" s="4"/>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4.25" customHeight="1">
      <c r="A620" s="4"/>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4.25" customHeight="1">
      <c r="A621" s="4"/>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4.25" customHeight="1">
      <c r="A622" s="4"/>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4.25" customHeight="1">
      <c r="A623" s="4"/>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4.25" customHeight="1">
      <c r="A624" s="4"/>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4.25" customHeight="1">
      <c r="A625" s="4"/>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4.25" customHeight="1">
      <c r="A626" s="4"/>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4.25" customHeight="1">
      <c r="A627" s="4"/>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4.25" customHeight="1">
      <c r="A628" s="4"/>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4.25" customHeight="1">
      <c r="A629" s="4"/>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4.25" customHeight="1">
      <c r="A630" s="4"/>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4.25" customHeight="1">
      <c r="A631" s="4"/>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4.25" customHeight="1">
      <c r="A632" s="4"/>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4.25" customHeight="1">
      <c r="A633" s="4"/>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4.25" customHeight="1">
      <c r="A634" s="4"/>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4.25" customHeight="1">
      <c r="A635" s="4"/>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4.25" customHeight="1">
      <c r="A636" s="4"/>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4.25" customHeight="1">
      <c r="A637" s="4"/>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4.25" customHeight="1">
      <c r="A638" s="4"/>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4.25" customHeight="1">
      <c r="A639" s="4"/>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4.25" customHeight="1">
      <c r="A640" s="4"/>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4.25" customHeight="1">
      <c r="A641" s="4"/>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4.25" customHeight="1">
      <c r="A642" s="4"/>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4.25" customHeight="1">
      <c r="A643" s="4"/>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4.25" customHeight="1">
      <c r="A644" s="4"/>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4.25" customHeight="1">
      <c r="A645" s="4"/>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4.25" customHeight="1">
      <c r="A646" s="4"/>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4.25" customHeight="1">
      <c r="A647" s="4"/>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4.25" customHeight="1">
      <c r="A648" s="4"/>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4.25" customHeight="1">
      <c r="A649" s="4"/>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4.25" customHeight="1">
      <c r="A650" s="4"/>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4.25" customHeight="1">
      <c r="A651" s="4"/>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4.25" customHeight="1">
      <c r="A652" s="4"/>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4.25" customHeight="1">
      <c r="A653" s="4"/>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4.25" customHeight="1">
      <c r="A654" s="4"/>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4.25" customHeight="1">
      <c r="A655" s="4"/>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4.25" customHeight="1">
      <c r="A656" s="4"/>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4.25" customHeight="1">
      <c r="A657" s="4"/>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4.25" customHeight="1">
      <c r="A658" s="4"/>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4.25" customHeight="1">
      <c r="A659" s="4"/>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4.25" customHeight="1">
      <c r="A660" s="4"/>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4.25" customHeight="1">
      <c r="A661" s="4"/>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4.25" customHeight="1">
      <c r="A662" s="4"/>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4.25" customHeight="1">
      <c r="A663" s="4"/>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4.25" customHeight="1">
      <c r="A664" s="4"/>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4.25" customHeight="1">
      <c r="A665" s="4"/>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4.25" customHeight="1">
      <c r="A666" s="4"/>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4.25" customHeight="1">
      <c r="A667" s="4"/>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4.25" customHeight="1">
      <c r="A668" s="4"/>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4.25" customHeight="1">
      <c r="A669" s="4"/>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4.25" customHeight="1">
      <c r="A670" s="4"/>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4.25" customHeight="1">
      <c r="A671" s="4"/>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4.25" customHeight="1">
      <c r="A672" s="4"/>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4.25" customHeight="1">
      <c r="A673" s="4"/>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4.25" customHeight="1">
      <c r="A674" s="4"/>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4.25" customHeight="1">
      <c r="A675" s="4"/>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4.25" customHeight="1">
      <c r="A676" s="4"/>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4.25" customHeight="1">
      <c r="A677" s="4"/>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4.25" customHeight="1">
      <c r="A678" s="4"/>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4.25" customHeight="1">
      <c r="A679" s="4"/>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4.25" customHeight="1">
      <c r="A680" s="4"/>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4.25" customHeight="1">
      <c r="A681" s="4"/>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4.25" customHeight="1">
      <c r="A682" s="4"/>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4.25" customHeight="1">
      <c r="A683" s="4"/>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4.25" customHeight="1">
      <c r="A684" s="4"/>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4.25" customHeight="1">
      <c r="A685" s="4"/>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4.25" customHeight="1">
      <c r="A686" s="4"/>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4.25" customHeight="1">
      <c r="A687" s="4"/>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4.25" customHeight="1">
      <c r="A688" s="4"/>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4.25" customHeight="1">
      <c r="A689" s="4"/>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4.25" customHeight="1">
      <c r="A690" s="4"/>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4.25" customHeight="1">
      <c r="A691" s="4"/>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4.25" customHeight="1">
      <c r="A692" s="4"/>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4.25" customHeight="1">
      <c r="A693" s="4"/>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4.25" customHeight="1">
      <c r="A694" s="4"/>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4.25" customHeight="1">
      <c r="A695" s="4"/>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4.25" customHeight="1">
      <c r="A696" s="4"/>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4.25" customHeight="1">
      <c r="A697" s="4"/>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4.25" customHeight="1">
      <c r="A698" s="4"/>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4.25" customHeight="1">
      <c r="A699" s="4"/>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4.25" customHeight="1">
      <c r="A700" s="4"/>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4.25" customHeight="1">
      <c r="A701" s="4"/>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4.25" customHeight="1">
      <c r="A702" s="4"/>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4.25" customHeight="1">
      <c r="A703" s="4"/>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4.25" customHeight="1">
      <c r="A704" s="4"/>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4.25" customHeight="1">
      <c r="A705" s="4"/>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4.25" customHeight="1">
      <c r="A706" s="4"/>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4.25" customHeight="1">
      <c r="A707" s="4"/>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4.25" customHeight="1">
      <c r="A708" s="4"/>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4.25" customHeight="1">
      <c r="A709" s="4"/>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4.25" customHeight="1">
      <c r="A710" s="4"/>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4.25" customHeight="1">
      <c r="A711" s="4"/>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4.25" customHeight="1">
      <c r="A712" s="4"/>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4.25" customHeight="1">
      <c r="A713" s="4"/>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4.25" customHeight="1">
      <c r="A714" s="4"/>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4.25" customHeight="1">
      <c r="A715" s="4"/>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4.25" customHeight="1">
      <c r="A716" s="4"/>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4.25" customHeight="1">
      <c r="A717" s="4"/>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4.25" customHeight="1">
      <c r="A718" s="4"/>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4.25" customHeight="1">
      <c r="A719" s="4"/>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4.25" customHeight="1">
      <c r="A720" s="4"/>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4.25" customHeight="1">
      <c r="A721" s="4"/>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4.25" customHeight="1">
      <c r="A722" s="4"/>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4.25" customHeight="1">
      <c r="A723" s="4"/>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4.25" customHeight="1">
      <c r="A724" s="4"/>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4.25" customHeight="1">
      <c r="A725" s="4"/>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4.25" customHeight="1">
      <c r="A726" s="4"/>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4.25" customHeight="1">
      <c r="A727" s="4"/>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4.25" customHeight="1">
      <c r="A728" s="4"/>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4.25" customHeight="1">
      <c r="A729" s="4"/>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4.25" customHeight="1">
      <c r="A730" s="4"/>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4.25" customHeight="1">
      <c r="A731" s="4"/>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4.25" customHeight="1">
      <c r="A732" s="4"/>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4.25" customHeight="1">
      <c r="A733" s="4"/>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4.25" customHeight="1">
      <c r="A734" s="4"/>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4.25" customHeight="1">
      <c r="A735" s="4"/>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4.25" customHeight="1">
      <c r="A736" s="4"/>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4.25" customHeight="1">
      <c r="A737" s="4"/>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4.25" customHeight="1">
      <c r="A738" s="4"/>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4.25" customHeight="1">
      <c r="A739" s="4"/>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4.25" customHeight="1">
      <c r="A740" s="4"/>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4.25" customHeight="1">
      <c r="A741" s="4"/>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4.25" customHeight="1">
      <c r="A742" s="4"/>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4.25" customHeight="1">
      <c r="A743" s="4"/>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4.25" customHeight="1">
      <c r="A744" s="4"/>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4.25" customHeight="1">
      <c r="A745" s="4"/>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4.25" customHeight="1">
      <c r="A746" s="4"/>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4.25" customHeight="1">
      <c r="A747" s="4"/>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4.25" customHeight="1">
      <c r="A748" s="4"/>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4.25" customHeight="1">
      <c r="A749" s="4"/>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4.25" customHeight="1">
      <c r="A750" s="4"/>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4.25" customHeight="1">
      <c r="A751" s="4"/>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4.25" customHeight="1">
      <c r="A752" s="4"/>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4.25" customHeight="1">
      <c r="A753" s="4"/>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4.25" customHeight="1">
      <c r="A754" s="4"/>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4.25" customHeight="1">
      <c r="A755" s="4"/>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4.25" customHeight="1">
      <c r="A756" s="4"/>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4.25" customHeight="1">
      <c r="A757" s="4"/>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4.25" customHeight="1">
      <c r="A758" s="4"/>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4.25" customHeight="1">
      <c r="A759" s="4"/>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4.25" customHeight="1">
      <c r="A760" s="4"/>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4.25" customHeight="1">
      <c r="A761" s="4"/>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4.25" customHeight="1">
      <c r="A762" s="4"/>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4.25" customHeight="1">
      <c r="A763" s="4"/>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4.25" customHeight="1">
      <c r="A764" s="4"/>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4.25" customHeight="1">
      <c r="A765" s="4"/>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4.25" customHeight="1">
      <c r="A766" s="4"/>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4.25" customHeight="1">
      <c r="A767" s="4"/>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4.25" customHeight="1">
      <c r="A768" s="4"/>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4.25" customHeight="1">
      <c r="A769" s="4"/>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4.25" customHeight="1">
      <c r="A770" s="4"/>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4.25" customHeight="1">
      <c r="A771" s="4"/>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4.25" customHeight="1">
      <c r="A772" s="4"/>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4.25" customHeight="1">
      <c r="A773" s="4"/>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4.25" customHeight="1">
      <c r="A774" s="4"/>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4.25" customHeight="1">
      <c r="A775" s="4"/>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4.25" customHeight="1">
      <c r="A776" s="4"/>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4.25" customHeight="1">
      <c r="A777" s="4"/>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4.25" customHeight="1">
      <c r="A778" s="4"/>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4.25" customHeight="1">
      <c r="A779" s="4"/>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4.25" customHeight="1">
      <c r="A780" s="4"/>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4.25" customHeight="1">
      <c r="A781" s="4"/>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4.25" customHeight="1">
      <c r="A782" s="4"/>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4.25" customHeight="1">
      <c r="A783" s="4"/>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4.25" customHeight="1">
      <c r="A784" s="4"/>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4.25" customHeight="1">
      <c r="A785" s="4"/>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4.25" customHeight="1">
      <c r="A786" s="4"/>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4.25" customHeight="1">
      <c r="A787" s="4"/>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4.25" customHeight="1">
      <c r="A788" s="4"/>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4.25" customHeight="1">
      <c r="A789" s="4"/>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4.25" customHeight="1">
      <c r="A790" s="4"/>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4.25" customHeight="1">
      <c r="A791" s="4"/>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4.25" customHeight="1">
      <c r="A792" s="4"/>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4.25" customHeight="1">
      <c r="A793" s="4"/>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4.25" customHeight="1">
      <c r="A794" s="4"/>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4.25" customHeight="1">
      <c r="A795" s="4"/>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4.25" customHeight="1">
      <c r="A796" s="4"/>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4.25" customHeight="1">
      <c r="A797" s="4"/>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4.25" customHeight="1">
      <c r="A798" s="4"/>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4.25" customHeight="1">
      <c r="A799" s="4"/>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4.25" customHeight="1">
      <c r="A800" s="4"/>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4.25" customHeight="1">
      <c r="A801" s="4"/>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4.25" customHeight="1">
      <c r="A802" s="4"/>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4.25" customHeight="1">
      <c r="A803" s="4"/>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4.25" customHeight="1">
      <c r="A804" s="4"/>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4.25" customHeight="1">
      <c r="A805" s="4"/>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4.25" customHeight="1">
      <c r="A806" s="4"/>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4.25" customHeight="1">
      <c r="A807" s="4"/>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4.25" customHeight="1">
      <c r="A808" s="4"/>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4.25" customHeight="1">
      <c r="A809" s="4"/>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4.25" customHeight="1">
      <c r="A810" s="4"/>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4.25" customHeight="1">
      <c r="A811" s="4"/>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4.25" customHeight="1">
      <c r="A812" s="4"/>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4.25" customHeight="1">
      <c r="A813" s="4"/>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4.25" customHeight="1">
      <c r="A814" s="4"/>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4.25" customHeight="1">
      <c r="A815" s="4"/>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4.25" customHeight="1">
      <c r="A816" s="4"/>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4.25" customHeight="1">
      <c r="A817" s="4"/>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4.25" customHeight="1">
      <c r="A818" s="4"/>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4.25" customHeight="1">
      <c r="A819" s="4"/>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4.25" customHeight="1">
      <c r="A820" s="4"/>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4.25" customHeight="1">
      <c r="A821" s="4"/>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4.25" customHeight="1">
      <c r="A822" s="4"/>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4.25" customHeight="1">
      <c r="A823" s="4"/>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4.25" customHeight="1">
      <c r="A824" s="4"/>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4.25" customHeight="1">
      <c r="A825" s="4"/>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4.25" customHeight="1">
      <c r="A826" s="4"/>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4.25" customHeight="1">
      <c r="A827" s="4"/>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4.25" customHeight="1">
      <c r="A828" s="4"/>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4.25" customHeight="1">
      <c r="A829" s="4"/>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4.25" customHeight="1">
      <c r="A830" s="4"/>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4.25" customHeight="1">
      <c r="A831" s="4"/>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4.25" customHeight="1">
      <c r="A832" s="4"/>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4.25" customHeight="1">
      <c r="A833" s="4"/>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4.25" customHeight="1">
      <c r="A834" s="4"/>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4.25" customHeight="1">
      <c r="A835" s="4"/>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4.25" customHeight="1">
      <c r="A836" s="4"/>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4.25" customHeight="1">
      <c r="A837" s="4"/>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4.25" customHeight="1">
      <c r="A838" s="4"/>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4.25" customHeight="1">
      <c r="A839" s="4"/>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4.25" customHeight="1">
      <c r="A840" s="4"/>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4.25" customHeight="1">
      <c r="A841" s="4"/>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4.25" customHeight="1">
      <c r="A842" s="4"/>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4.25" customHeight="1">
      <c r="A843" s="4"/>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4.25" customHeight="1">
      <c r="A844" s="4"/>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4.25" customHeight="1">
      <c r="A845" s="4"/>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4.25" customHeight="1">
      <c r="A846" s="4"/>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4.25" customHeight="1">
      <c r="A847" s="4"/>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4.25" customHeight="1">
      <c r="A848" s="4"/>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4.25" customHeight="1">
      <c r="A849" s="4"/>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4.25" customHeight="1">
      <c r="A850" s="4"/>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4.25" customHeight="1">
      <c r="A851" s="4"/>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4.25" customHeight="1">
      <c r="A852" s="4"/>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4.25" customHeight="1">
      <c r="A853" s="4"/>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4.25" customHeight="1">
      <c r="A854" s="4"/>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4.25" customHeight="1">
      <c r="A855" s="4"/>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4.25" customHeight="1">
      <c r="A856" s="4"/>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4.25" customHeight="1">
      <c r="A857" s="4"/>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4.25" customHeight="1">
      <c r="A858" s="4"/>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4.25" customHeight="1">
      <c r="A859" s="4"/>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4.25" customHeight="1">
      <c r="A860" s="4"/>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4.25" customHeight="1">
      <c r="A861" s="4"/>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4.25" customHeight="1">
      <c r="A862" s="4"/>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4.25" customHeight="1">
      <c r="A863" s="4"/>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4.25" customHeight="1">
      <c r="A864" s="4"/>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4.25" customHeight="1">
      <c r="A865" s="4"/>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4.25" customHeight="1">
      <c r="A866" s="4"/>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4.25" customHeight="1">
      <c r="A867" s="4"/>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4.25" customHeight="1">
      <c r="A868" s="4"/>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4.25" customHeight="1">
      <c r="A869" s="4"/>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4.25" customHeight="1">
      <c r="A870" s="4"/>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4.25" customHeight="1">
      <c r="A871" s="4"/>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4.25" customHeight="1">
      <c r="A872" s="4"/>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4.25" customHeight="1">
      <c r="A873" s="4"/>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4.25" customHeight="1">
      <c r="A874" s="4"/>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4.25" customHeight="1">
      <c r="A875" s="4"/>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4.25" customHeight="1">
      <c r="A876" s="4"/>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4.25" customHeight="1">
      <c r="A877" s="4"/>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4.25" customHeight="1">
      <c r="A878" s="4"/>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4.25" customHeight="1">
      <c r="A879" s="4"/>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4.25" customHeight="1">
      <c r="A880" s="4"/>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4.25" customHeight="1">
      <c r="A881" s="4"/>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4.25" customHeight="1">
      <c r="A882" s="4"/>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4.25" customHeight="1">
      <c r="A883" s="4"/>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4.25" customHeight="1">
      <c r="A884" s="4"/>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4.25" customHeight="1">
      <c r="A885" s="4"/>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4.25" customHeight="1">
      <c r="A886" s="4"/>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4.25" customHeight="1">
      <c r="A887" s="4"/>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4.25" customHeight="1">
      <c r="A888" s="4"/>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4.25" customHeight="1">
      <c r="A889" s="4"/>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4.25" customHeight="1">
      <c r="A890" s="4"/>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4.25" customHeight="1">
      <c r="A891" s="4"/>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4.25" customHeight="1">
      <c r="A892" s="4"/>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4.25" customHeight="1">
      <c r="A893" s="4"/>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4.25" customHeight="1">
      <c r="A894" s="4"/>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4.25" customHeight="1">
      <c r="A895" s="4"/>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4.25" customHeight="1">
      <c r="A896" s="4"/>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4.25" customHeight="1">
      <c r="A897" s="4"/>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4.25" customHeight="1">
      <c r="A898" s="4"/>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4.25" customHeight="1">
      <c r="A899" s="4"/>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4.25" customHeight="1">
      <c r="A900" s="4"/>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4.25" customHeight="1">
      <c r="A901" s="4"/>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4.25" customHeight="1">
      <c r="A902" s="4"/>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4.25" customHeight="1">
      <c r="A903" s="4"/>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4.25" customHeight="1">
      <c r="A904" s="4"/>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4.25" customHeight="1">
      <c r="A905" s="4"/>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4.25" customHeight="1">
      <c r="A906" s="4"/>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4.25" customHeight="1">
      <c r="A907" s="4"/>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4.25" customHeight="1">
      <c r="A908" s="4"/>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4.25" customHeight="1">
      <c r="A909" s="4"/>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4.25" customHeight="1">
      <c r="A910" s="4"/>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4.25" customHeight="1">
      <c r="A911" s="4"/>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4.25" customHeight="1">
      <c r="A912" s="4"/>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4.25" customHeight="1">
      <c r="A913" s="4"/>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4.25" customHeight="1">
      <c r="A914" s="4"/>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4.25" customHeight="1">
      <c r="A915" s="4"/>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4.25" customHeight="1">
      <c r="A916" s="4"/>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4.25" customHeight="1">
      <c r="A917" s="4"/>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4.25" customHeight="1">
      <c r="A918" s="4"/>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4.25" customHeight="1">
      <c r="A919" s="4"/>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4.25" customHeight="1">
      <c r="A920" s="4"/>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4.25" customHeight="1">
      <c r="A921" s="4"/>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4.25" customHeight="1">
      <c r="A922" s="4"/>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4.25" customHeight="1">
      <c r="A923" s="4"/>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4.25" customHeight="1">
      <c r="A924" s="4"/>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4.25" customHeight="1">
      <c r="A925" s="4"/>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4.25" customHeight="1">
      <c r="A926" s="4"/>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4.25" customHeight="1">
      <c r="A927" s="4"/>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4.25" customHeight="1">
      <c r="A928" s="4"/>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4.25" customHeight="1">
      <c r="A929" s="4"/>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4.25" customHeight="1">
      <c r="A930" s="4"/>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4.25" customHeight="1">
      <c r="A931" s="4"/>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4.25" customHeight="1">
      <c r="A932" s="4"/>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4.25" customHeight="1">
      <c r="A933" s="4"/>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4.25" customHeight="1">
      <c r="A934" s="4"/>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4.25" customHeight="1">
      <c r="A935" s="4"/>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4.25" customHeight="1">
      <c r="A936" s="4"/>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4.25" customHeight="1">
      <c r="A937" s="4"/>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4.25" customHeight="1">
      <c r="A938" s="4"/>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4.25" customHeight="1">
      <c r="A939" s="4"/>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4.25" customHeight="1">
      <c r="A940" s="4"/>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4.25" customHeight="1">
      <c r="A941" s="4"/>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4.25" customHeight="1">
      <c r="A942" s="4"/>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4.25" customHeight="1">
      <c r="A943" s="4"/>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4.25" customHeight="1">
      <c r="A944" s="4"/>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4.25" customHeight="1">
      <c r="A945" s="4"/>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4.25" customHeight="1">
      <c r="A946" s="4"/>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4.25" customHeight="1">
      <c r="A947" s="4"/>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4.25" customHeight="1">
      <c r="A948" s="4"/>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4.25" customHeight="1">
      <c r="A949" s="4"/>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4.25" customHeight="1">
      <c r="A950" s="4"/>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4.25" customHeight="1">
      <c r="A951" s="4"/>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4.25" customHeight="1">
      <c r="A952" s="4"/>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4.25" customHeight="1">
      <c r="A953" s="4"/>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4.25" customHeight="1">
      <c r="A954" s="4"/>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4.25" customHeight="1">
      <c r="A955" s="4"/>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4.25" customHeight="1">
      <c r="A956" s="4"/>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4.25" customHeight="1">
      <c r="A957" s="4"/>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4.25" customHeight="1">
      <c r="A958" s="4"/>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4.25" customHeight="1">
      <c r="A959" s="4"/>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4.25" customHeight="1">
      <c r="A960" s="4"/>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4.25" customHeight="1">
      <c r="A961" s="4"/>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4.25" customHeight="1">
      <c r="A962" s="4"/>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4.25" customHeight="1">
      <c r="A963" s="4"/>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4.25" customHeight="1">
      <c r="A964" s="4"/>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4.25" customHeight="1">
      <c r="A965" s="4"/>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4.25" customHeight="1">
      <c r="A966" s="4"/>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4.25" customHeight="1">
      <c r="A967" s="4"/>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4.25" customHeight="1">
      <c r="A968" s="4"/>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4.25" customHeight="1">
      <c r="A969" s="4"/>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4.25" customHeight="1">
      <c r="A970" s="4"/>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4.25" customHeight="1">
      <c r="A971" s="4"/>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4.25" customHeight="1">
      <c r="A972" s="4"/>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4.25" customHeight="1">
      <c r="A973" s="4"/>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4.25" customHeight="1">
      <c r="A974" s="4"/>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4.25" customHeight="1">
      <c r="A975" s="4"/>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4.25" customHeight="1">
      <c r="A976" s="4"/>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4.25" customHeight="1">
      <c r="A977" s="4"/>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4.25" customHeight="1">
      <c r="A978" s="4"/>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4.25" customHeight="1">
      <c r="A979" s="4"/>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4.25" customHeight="1">
      <c r="A980" s="4"/>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4.25" customHeight="1">
      <c r="A981" s="4"/>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4.25" customHeight="1">
      <c r="A982" s="4"/>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4.25" customHeight="1">
      <c r="A983" s="4"/>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4.25" customHeight="1">
      <c r="A984" s="4"/>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4.25" customHeight="1">
      <c r="A985" s="4"/>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4.25" customHeight="1">
      <c r="A986" s="4"/>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4.25" customHeight="1">
      <c r="A987" s="4"/>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4.25" customHeight="1">
      <c r="A988" s="4"/>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4.25" customHeight="1">
      <c r="A989" s="4"/>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4.25" customHeight="1">
      <c r="A990" s="4"/>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4.25" customHeight="1">
      <c r="A991" s="4"/>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4.25" customHeight="1">
      <c r="A992" s="4"/>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4.25" customHeight="1">
      <c r="A993" s="4"/>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4.25" customHeight="1">
      <c r="A994" s="4"/>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4.25" customHeight="1">
      <c r="A995" s="4"/>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4.25" customHeight="1">
      <c r="A996" s="4"/>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4.25" customHeight="1">
      <c r="A997" s="4"/>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4.25" customHeight="1">
      <c r="A998" s="4"/>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4.25" customHeight="1">
      <c r="A999" s="4"/>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4.25" customHeight="1">
      <c r="A1000" s="4"/>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H19:H23"/>
    <mergeCell ref="A20:A25"/>
    <mergeCell ref="H25:H29"/>
    <mergeCell ref="C3:M3"/>
    <mergeCell ref="A7:A11"/>
    <mergeCell ref="H7:H12"/>
    <mergeCell ref="A13:A18"/>
    <mergeCell ref="H14:H17"/>
  </mergeCells>
  <conditionalFormatting sqref="D7:E11 D13:E18 D20:E25 K7:L12 K14:L17 K19:L23 K25:L29">
    <cfRule type="colorScale" priority="1">
      <colorScale>
        <cfvo type="formula" val="1"/>
        <cfvo type="formula" val="2.5"/>
        <cfvo type="formula" val="4"/>
        <color rgb="FF6DCC32"/>
        <color rgb="FFFFE600"/>
        <color rgb="FFC00000"/>
      </colorScale>
    </cfRule>
  </conditionalFormatting>
  <conditionalFormatting sqref="F1:F1000">
    <cfRule type="colorScale" priority="2">
      <colorScale>
        <cfvo type="formula" val="1"/>
        <cfvo type="formula" val="8.5"/>
        <cfvo type="formula" val="16"/>
        <color rgb="FF6DCC32"/>
        <color rgb="FFFFE600"/>
        <color rgb="FFC00000"/>
      </colorScale>
    </cfRule>
  </conditionalFormatting>
  <conditionalFormatting sqref="M7:M12 M14:M17 M19:M23 M25:M29">
    <cfRule type="colorScale" priority="3">
      <colorScale>
        <cfvo type="formula" val="1"/>
        <cfvo type="formula" val="8.5"/>
        <cfvo type="formula" val="16"/>
        <color rgb="FF6DCC32"/>
        <color rgb="FFFFE600"/>
        <color rgb="FFC00000"/>
      </colorScale>
    </cfRule>
  </conditionalFormatting>
  <pageMargins left="0.19685039370078741" right="0.11811023622047245" top="0.35433070866141736" bottom="0.15748031496062992" header="0" footer="0"/>
  <pageSetup paperSize="9"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Console</vt:lpstr>
      <vt:lpstr>About</vt:lpstr>
      <vt:lpstr>Instructions</vt:lpstr>
      <vt:lpstr>Customer</vt:lpstr>
      <vt:lpstr>People</vt:lpstr>
      <vt:lpstr>Operations</vt:lpstr>
      <vt:lpstr>Finance</vt:lpstr>
      <vt:lpstr>Analytics</vt:lpstr>
      <vt:lpstr>Risk</vt:lpstr>
      <vt:lpstr>Impact</vt:lpstr>
      <vt:lpstr>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Newell</dc:creator>
  <cp:lastModifiedBy>Kyle Newell</cp:lastModifiedBy>
  <dcterms:created xsi:type="dcterms:W3CDTF">2017-04-06T13:50:17Z</dcterms:created>
  <dcterms:modified xsi:type="dcterms:W3CDTF">2026-08-05T21:09:16Z</dcterms:modified>
</cp:coreProperties>
</file>